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402642\Documents\Undergraduate courses\Bio3017s\2025\"/>
    </mc:Choice>
  </mc:AlternateContent>
  <xr:revisionPtr revIDLastSave="0" documentId="13_ncr:1_{8F473AF7-8EBA-4B50-9087-2E9494A7DE30}" xr6:coauthVersionLast="47" xr6:coauthVersionMax="47" xr10:uidLastSave="{00000000-0000-0000-0000-000000000000}"/>
  <bookViews>
    <workbookView xWindow="-108" yWindow="-108" windowWidth="23256" windowHeight="14016" firstSheet="2" activeTab="6" xr2:uid="{55DF280F-EEDE-49C3-8748-09BCF7A7A973}"/>
  </bookViews>
  <sheets>
    <sheet name="TL chart" sheetId="3" r:id="rId1"/>
    <sheet name="Mass vs TL chart2" sheetId="4" r:id="rId2"/>
    <sheet name="GS pivot" sheetId="6" r:id="rId3"/>
    <sheet name="GSI chart" sheetId="9" r:id="rId4"/>
    <sheet name="GSI pivot" sheetId="7" r:id="rId5"/>
    <sheet name="PivotFat" sheetId="11" r:id="rId6"/>
    <sheet name="P.blochii" sheetId="1" r:id="rId7"/>
  </sheet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9" i="1" l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H33" i="11" l="1"/>
  <c r="H24" i="11"/>
  <c r="H32" i="11"/>
  <c r="B30" i="11"/>
  <c r="C30" i="11"/>
  <c r="D30" i="11"/>
  <c r="E30" i="11"/>
  <c r="B31" i="11"/>
  <c r="C31" i="11"/>
  <c r="D31" i="11"/>
  <c r="E31" i="11"/>
  <c r="B32" i="11"/>
  <c r="C32" i="11"/>
  <c r="D32" i="11"/>
  <c r="E32" i="11"/>
  <c r="E29" i="11"/>
  <c r="C29" i="11"/>
  <c r="D29" i="11"/>
  <c r="B29" i="11"/>
  <c r="C22" i="11"/>
  <c r="D22" i="11"/>
  <c r="E22" i="11"/>
  <c r="C23" i="11"/>
  <c r="D23" i="11"/>
  <c r="E23" i="11"/>
  <c r="C24" i="11"/>
  <c r="D24" i="11"/>
  <c r="E24" i="11"/>
  <c r="C25" i="11"/>
  <c r="D25" i="11"/>
  <c r="E25" i="11"/>
  <c r="B23" i="11"/>
  <c r="B24" i="11"/>
  <c r="B25" i="11"/>
  <c r="B22" i="11"/>
  <c r="F15" i="11"/>
  <c r="F16" i="11"/>
  <c r="F17" i="11"/>
  <c r="F18" i="11"/>
  <c r="F14" i="11"/>
  <c r="C18" i="11"/>
  <c r="D18" i="11"/>
  <c r="E18" i="11"/>
  <c r="B18" i="11"/>
  <c r="D529" i="1" l="1"/>
  <c r="M6" i="7"/>
  <c r="N6" i="7"/>
  <c r="M7" i="7"/>
  <c r="N7" i="7"/>
  <c r="M8" i="7"/>
  <c r="N8" i="7"/>
  <c r="N5" i="7"/>
  <c r="M5" i="7"/>
  <c r="D509" i="1" l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301" i="1" l="1"/>
  <c r="D259" i="1"/>
  <c r="D381" i="1"/>
  <c r="D221" i="1"/>
  <c r="D257" i="1"/>
  <c r="D237" i="1"/>
  <c r="D241" i="1"/>
  <c r="D258" i="1"/>
  <c r="D300" i="1"/>
  <c r="D303" i="1"/>
  <c r="D132" i="1"/>
  <c r="D210" i="1"/>
  <c r="D164" i="1"/>
  <c r="D240" i="1"/>
  <c r="D268" i="1"/>
  <c r="D360" i="1"/>
  <c r="D270" i="1"/>
  <c r="D216" i="1"/>
  <c r="D309" i="1"/>
  <c r="D349" i="1"/>
  <c r="D238" i="1"/>
  <c r="D48" i="1"/>
  <c r="D201" i="1"/>
  <c r="D203" i="1"/>
  <c r="D331" i="1"/>
  <c r="D344" i="1"/>
  <c r="D236" i="1"/>
  <c r="D208" i="1"/>
  <c r="D387" i="1"/>
  <c r="D205" i="1"/>
  <c r="D318" i="1"/>
  <c r="D400" i="1"/>
  <c r="D377" i="1"/>
  <c r="D267" i="1"/>
  <c r="D306" i="1"/>
  <c r="D317" i="1"/>
  <c r="D171" i="1"/>
  <c r="D197" i="1"/>
  <c r="D195" i="1"/>
  <c r="D142" i="1"/>
  <c r="D193" i="1"/>
  <c r="D214" i="1"/>
  <c r="D312" i="1"/>
  <c r="D160" i="1"/>
  <c r="D322" i="1"/>
  <c r="D182" i="1"/>
  <c r="D378" i="1"/>
  <c r="D166" i="1"/>
  <c r="D391" i="1"/>
  <c r="D363" i="1"/>
  <c r="D353" i="1"/>
  <c r="D388" i="1"/>
  <c r="D173" i="1"/>
  <c r="D361" i="1"/>
  <c r="D199" i="1"/>
  <c r="D323" i="1"/>
  <c r="D130" i="1"/>
  <c r="D181" i="1"/>
  <c r="D362" i="1"/>
  <c r="D134" i="1"/>
  <c r="D402" i="1"/>
  <c r="D186" i="1"/>
  <c r="D316" i="1"/>
  <c r="D176" i="1"/>
  <c r="D358" i="1"/>
  <c r="D136" i="1"/>
  <c r="D315" i="1"/>
  <c r="D376" i="1"/>
  <c r="D61" i="1"/>
  <c r="D168" i="1"/>
  <c r="D206" i="1"/>
  <c r="D207" i="1"/>
  <c r="D156" i="1"/>
  <c r="D359" i="1"/>
  <c r="D271" i="1"/>
  <c r="D228" i="1"/>
  <c r="D327" i="1"/>
  <c r="D29" i="1"/>
  <c r="D249" i="1"/>
  <c r="D305" i="1"/>
  <c r="D178" i="1"/>
  <c r="D120" i="1"/>
  <c r="D223" i="1"/>
  <c r="D403" i="1"/>
  <c r="D175" i="1"/>
  <c r="D354" i="1"/>
  <c r="D217" i="1"/>
  <c r="D276" i="1"/>
  <c r="D321" i="1"/>
  <c r="D356" i="1"/>
  <c r="D274" i="1"/>
  <c r="D352" i="1"/>
  <c r="D158" i="1"/>
  <c r="D389" i="1"/>
  <c r="D329" i="1"/>
  <c r="D397" i="1"/>
  <c r="D380" i="1"/>
  <c r="D407" i="1"/>
  <c r="D330" i="1"/>
  <c r="D262" i="1"/>
  <c r="D319" i="1"/>
  <c r="D248" i="1"/>
  <c r="D313" i="1"/>
  <c r="D302" i="1"/>
  <c r="D307" i="1"/>
  <c r="D341" i="1"/>
  <c r="D58" i="1"/>
  <c r="D254" i="1"/>
  <c r="D219" i="1"/>
  <c r="D308" i="1"/>
  <c r="D23" i="1"/>
  <c r="D224" i="1"/>
  <c r="D263" i="1"/>
  <c r="D357" i="1"/>
  <c r="D4" i="1"/>
  <c r="D34" i="1"/>
  <c r="D390" i="1"/>
  <c r="D272" i="1"/>
  <c r="D348" i="1"/>
  <c r="D40" i="1"/>
  <c r="D412" i="1"/>
  <c r="D328" i="1"/>
  <c r="D264" i="1"/>
  <c r="D154" i="1"/>
  <c r="D9" i="1"/>
  <c r="D59" i="1"/>
  <c r="D326" i="1"/>
  <c r="D233" i="1"/>
  <c r="D28" i="1"/>
  <c r="D25" i="1"/>
  <c r="D260" i="1"/>
  <c r="D324" i="1"/>
  <c r="D342" i="1"/>
  <c r="D53" i="1"/>
  <c r="D355" i="1"/>
  <c r="D374" i="1"/>
  <c r="D209" i="1"/>
  <c r="D7" i="1"/>
  <c r="D35" i="1"/>
  <c r="D372" i="1"/>
  <c r="D347" i="1"/>
  <c r="D3" i="1"/>
  <c r="D215" i="1"/>
  <c r="D399" i="1"/>
  <c r="D2" i="1"/>
  <c r="D103" i="1"/>
  <c r="D247" i="1"/>
  <c r="D314" i="1"/>
  <c r="D351" i="1"/>
  <c r="D337" i="1"/>
  <c r="D127" i="1"/>
  <c r="D11" i="1"/>
  <c r="D24" i="1"/>
  <c r="D17" i="1"/>
  <c r="D226" i="1"/>
  <c r="D169" i="1"/>
  <c r="D65" i="1"/>
  <c r="D218" i="1"/>
  <c r="D116" i="1"/>
  <c r="D250" i="1"/>
  <c r="D373" i="1"/>
  <c r="D43" i="1"/>
  <c r="D144" i="1"/>
  <c r="D394" i="1"/>
  <c r="D275" i="1"/>
  <c r="D70" i="1"/>
  <c r="D37" i="1"/>
  <c r="D39" i="1"/>
  <c r="D44" i="1"/>
  <c r="D66" i="1"/>
  <c r="D82" i="1"/>
  <c r="D15" i="1"/>
  <c r="D346" i="1"/>
  <c r="D401" i="1"/>
  <c r="D310" i="1"/>
  <c r="D404" i="1"/>
  <c r="D16" i="1"/>
  <c r="D350" i="1"/>
  <c r="D415" i="1"/>
  <c r="D435" i="1"/>
  <c r="D304" i="1"/>
  <c r="D273" i="1"/>
  <c r="D101" i="1"/>
  <c r="D261" i="1"/>
  <c r="D383" i="1"/>
  <c r="D419" i="1"/>
  <c r="D41" i="1"/>
  <c r="D102" i="1"/>
  <c r="D220" i="1"/>
  <c r="D493" i="1"/>
  <c r="D63" i="1"/>
  <c r="D69" i="1"/>
  <c r="D148" i="1"/>
  <c r="D424" i="1"/>
  <c r="D157" i="1"/>
  <c r="D396" i="1"/>
  <c r="D52" i="1"/>
  <c r="D90" i="1"/>
  <c r="D408" i="1"/>
  <c r="D225" i="1"/>
  <c r="D340" i="1"/>
  <c r="D425" i="1"/>
  <c r="D42" i="1"/>
  <c r="D26" i="1"/>
  <c r="D366" i="1"/>
  <c r="D234" i="1"/>
  <c r="D230" i="1"/>
  <c r="D122" i="1"/>
  <c r="D49" i="1"/>
  <c r="D118" i="1"/>
  <c r="D445" i="1"/>
  <c r="D239" i="1"/>
  <c r="D252" i="1"/>
  <c r="D508" i="1"/>
  <c r="D146" i="1"/>
  <c r="D287" i="1"/>
  <c r="D170" i="1"/>
  <c r="D172" i="1"/>
  <c r="D38" i="1"/>
  <c r="D119" i="1"/>
  <c r="D67" i="1"/>
  <c r="D339" i="1"/>
  <c r="D33" i="1"/>
  <c r="D60" i="1"/>
  <c r="D420" i="1"/>
  <c r="D452" i="1"/>
  <c r="D45" i="1"/>
  <c r="D14" i="1"/>
  <c r="D187" i="1"/>
  <c r="D184" i="1"/>
  <c r="D27" i="1"/>
  <c r="D174" i="1"/>
  <c r="D46" i="1"/>
  <c r="D152" i="1"/>
  <c r="D338" i="1"/>
  <c r="D464" i="1"/>
  <c r="D298" i="1"/>
  <c r="D446" i="1"/>
  <c r="D167" i="1"/>
  <c r="D189" i="1"/>
  <c r="D251" i="1"/>
  <c r="D72" i="1"/>
  <c r="D125" i="1"/>
  <c r="D416" i="1"/>
  <c r="D57" i="1"/>
  <c r="D51" i="1"/>
  <c r="D88" i="1"/>
  <c r="D277" i="1"/>
  <c r="D36" i="1"/>
  <c r="D141" i="1"/>
  <c r="D85" i="1"/>
  <c r="D110" i="1"/>
  <c r="D444" i="1"/>
  <c r="D426" i="1"/>
  <c r="D108" i="1"/>
  <c r="D460" i="1"/>
  <c r="D294" i="1"/>
  <c r="D138" i="1"/>
  <c r="D155" i="1"/>
  <c r="D117" i="1"/>
  <c r="D367" i="1"/>
  <c r="D56" i="1"/>
  <c r="D115" i="1"/>
  <c r="D133" i="1"/>
  <c r="D392" i="1"/>
  <c r="D18" i="1"/>
  <c r="D395" i="1"/>
  <c r="D405" i="1"/>
  <c r="D121" i="1"/>
  <c r="D185" i="1"/>
  <c r="D288" i="1"/>
  <c r="D365" i="1"/>
  <c r="D47" i="1"/>
  <c r="D422" i="1"/>
  <c r="D432" i="1"/>
  <c r="D343" i="1"/>
  <c r="D111" i="1"/>
  <c r="D129" i="1"/>
  <c r="D463" i="1"/>
  <c r="D96" i="1"/>
  <c r="D311" i="1"/>
  <c r="D450" i="1"/>
  <c r="D447" i="1"/>
  <c r="D22" i="1"/>
  <c r="D100" i="1"/>
  <c r="D382" i="1"/>
  <c r="D477" i="1"/>
  <c r="D162" i="1"/>
  <c r="D427" i="1"/>
  <c r="D32" i="1"/>
  <c r="D73" i="1"/>
  <c r="D143" i="1"/>
  <c r="D31" i="1"/>
  <c r="D369" i="1"/>
  <c r="D13" i="1"/>
  <c r="D92" i="1"/>
  <c r="D364" i="1"/>
  <c r="D145" i="1"/>
  <c r="D200" i="1"/>
  <c r="D5" i="1"/>
  <c r="D284" i="1"/>
  <c r="D371" i="1"/>
  <c r="D443" i="1"/>
  <c r="D161" i="1"/>
  <c r="D30" i="1"/>
  <c r="D62" i="1"/>
  <c r="D113" i="1"/>
  <c r="D112" i="1"/>
  <c r="D194" i="1"/>
  <c r="D19" i="1"/>
  <c r="D451" i="1"/>
  <c r="D87" i="1"/>
  <c r="D191" i="1"/>
  <c r="D8" i="1"/>
  <c r="D213" i="1"/>
  <c r="D149" i="1"/>
  <c r="D255" i="1"/>
  <c r="D370" i="1"/>
  <c r="D469" i="1"/>
  <c r="D75" i="1"/>
  <c r="D449" i="1"/>
  <c r="D459" i="1"/>
  <c r="D423" i="1"/>
  <c r="D204" i="1"/>
  <c r="D81" i="1"/>
  <c r="D107" i="1"/>
  <c r="D147" i="1"/>
  <c r="D453" i="1"/>
  <c r="D98" i="1"/>
  <c r="D505" i="1"/>
  <c r="D448" i="1"/>
  <c r="D68" i="1"/>
  <c r="D78" i="1"/>
  <c r="D386" i="1"/>
  <c r="D84" i="1"/>
  <c r="D433" i="1"/>
  <c r="D198" i="1"/>
  <c r="D97" i="1"/>
  <c r="D183" i="1"/>
  <c r="D368" i="1"/>
  <c r="D457" i="1"/>
  <c r="D462" i="1"/>
  <c r="D190" i="1"/>
  <c r="D413" i="1"/>
  <c r="D398" i="1"/>
  <c r="D6" i="1"/>
  <c r="D76" i="1"/>
  <c r="D74" i="1"/>
  <c r="D418" i="1"/>
  <c r="D163" i="1"/>
  <c r="D431" i="1"/>
  <c r="D10" i="1"/>
  <c r="D246" i="1"/>
  <c r="D179" i="1"/>
  <c r="D479" i="1"/>
  <c r="D20" i="1"/>
  <c r="D421" i="1"/>
  <c r="D123" i="1"/>
  <c r="D269" i="1"/>
  <c r="D124" i="1"/>
  <c r="D495" i="1"/>
  <c r="D131" i="1"/>
  <c r="D484" i="1"/>
  <c r="D106" i="1"/>
  <c r="D180" i="1"/>
  <c r="D153" i="1"/>
  <c r="D165" i="1"/>
  <c r="D212" i="1"/>
  <c r="D55" i="1"/>
  <c r="D135" i="1"/>
  <c r="D150" i="1"/>
  <c r="D94" i="1"/>
  <c r="D137" i="1"/>
  <c r="D335" i="1"/>
  <c r="D320" i="1"/>
  <c r="D496" i="1"/>
  <c r="D227" i="1"/>
  <c r="D458" i="1"/>
  <c r="D473" i="1"/>
  <c r="D80" i="1"/>
  <c r="D470" i="1"/>
  <c r="D440" i="1"/>
  <c r="D417" i="1"/>
  <c r="D454" i="1"/>
  <c r="D455" i="1"/>
  <c r="D202" i="1"/>
  <c r="D286" i="1"/>
  <c r="D54" i="1"/>
  <c r="D79" i="1"/>
  <c r="D488" i="1"/>
  <c r="D295" i="1"/>
  <c r="D345" i="1"/>
  <c r="D86" i="1"/>
  <c r="D211" i="1"/>
  <c r="D504" i="1"/>
  <c r="D104" i="1"/>
  <c r="D456" i="1"/>
  <c r="D91" i="1"/>
  <c r="D414" i="1"/>
  <c r="D471" i="1"/>
  <c r="D474" i="1"/>
  <c r="D126" i="1"/>
  <c r="D77" i="1"/>
  <c r="D465" i="1"/>
  <c r="D89" i="1"/>
  <c r="D196" i="1"/>
  <c r="D299" i="1"/>
  <c r="D21" i="1"/>
  <c r="D486" i="1"/>
  <c r="D50" i="1"/>
  <c r="D114" i="1"/>
  <c r="D482" i="1"/>
  <c r="D222" i="1"/>
  <c r="D436" i="1"/>
  <c r="D293" i="1"/>
  <c r="D192" i="1"/>
  <c r="D93" i="1"/>
  <c r="D95" i="1"/>
  <c r="D487" i="1"/>
  <c r="D494" i="1"/>
  <c r="D177" i="1"/>
  <c r="D253" i="1"/>
  <c r="D475" i="1"/>
  <c r="D291" i="1"/>
  <c r="D151" i="1"/>
  <c r="D297" i="1"/>
  <c r="D406" i="1"/>
  <c r="D281" i="1"/>
  <c r="D481" i="1"/>
  <c r="D242" i="1"/>
  <c r="D282" i="1"/>
  <c r="D232" i="1"/>
  <c r="D266" i="1"/>
  <c r="D468" i="1"/>
  <c r="D290" i="1"/>
  <c r="D256" i="1"/>
  <c r="D410" i="1"/>
  <c r="D71" i="1"/>
  <c r="D296" i="1"/>
  <c r="D497" i="1"/>
  <c r="D385" i="1"/>
  <c r="D434" i="1"/>
  <c r="D507" i="1"/>
  <c r="D243" i="1"/>
  <c r="D265" i="1"/>
  <c r="D438" i="1"/>
  <c r="D472" i="1"/>
  <c r="D64" i="1"/>
  <c r="D292" i="1"/>
  <c r="D492" i="1"/>
  <c r="D336" i="1"/>
  <c r="D245" i="1"/>
  <c r="D244" i="1"/>
  <c r="D99" i="1"/>
  <c r="D83" i="1"/>
  <c r="D12" i="1"/>
  <c r="D428" i="1"/>
  <c r="D478" i="1"/>
  <c r="D393" i="1"/>
  <c r="D333" i="1"/>
  <c r="D325" i="1"/>
  <c r="D285" i="1"/>
  <c r="D467" i="1"/>
  <c r="D139" i="1"/>
  <c r="D441" i="1"/>
  <c r="D188" i="1"/>
  <c r="D229" i="1"/>
  <c r="D379" i="1"/>
  <c r="D289" i="1"/>
  <c r="D409" i="1"/>
  <c r="D283" i="1"/>
  <c r="D501" i="1"/>
  <c r="D498" i="1"/>
  <c r="D231" i="1"/>
  <c r="D105" i="1"/>
  <c r="D280" i="1"/>
  <c r="D466" i="1"/>
  <c r="D439" i="1"/>
  <c r="D332" i="1"/>
  <c r="D235" i="1"/>
  <c r="D375" i="1"/>
  <c r="D279" i="1"/>
  <c r="D334" i="1"/>
  <c r="D480" i="1"/>
  <c r="D278" i="1"/>
  <c r="D506" i="1"/>
  <c r="D461" i="1"/>
  <c r="D159" i="1"/>
  <c r="D437" i="1"/>
  <c r="D384" i="1"/>
  <c r="D128" i="1"/>
  <c r="D476" i="1"/>
  <c r="D411" i="1"/>
  <c r="D442" i="1"/>
  <c r="D491" i="1"/>
  <c r="D499" i="1"/>
  <c r="D489" i="1"/>
  <c r="D429" i="1"/>
  <c r="D430" i="1"/>
  <c r="D500" i="1"/>
  <c r="D503" i="1"/>
  <c r="D485" i="1"/>
  <c r="D490" i="1"/>
  <c r="D483" i="1"/>
  <c r="D109" i="1"/>
  <c r="D502" i="1"/>
  <c r="D140" i="1"/>
</calcChain>
</file>

<file path=xl/sharedStrings.xml><?xml version="1.0" encoding="utf-8"?>
<sst xmlns="http://schemas.openxmlformats.org/spreadsheetml/2006/main" count="1861" uniqueCount="605">
  <si>
    <t>Species</t>
  </si>
  <si>
    <t>Date</t>
  </si>
  <si>
    <t>TL</t>
  </si>
  <si>
    <t>FL</t>
  </si>
  <si>
    <t>Mass</t>
  </si>
  <si>
    <t>Sex</t>
  </si>
  <si>
    <t>GS</t>
  </si>
  <si>
    <t>GW</t>
  </si>
  <si>
    <t>Fat</t>
  </si>
  <si>
    <t>P. blochii</t>
  </si>
  <si>
    <t>F</t>
  </si>
  <si>
    <t>MR013</t>
  </si>
  <si>
    <t>MR014</t>
  </si>
  <si>
    <t>MR015</t>
  </si>
  <si>
    <t>MR016</t>
  </si>
  <si>
    <t>MR017</t>
  </si>
  <si>
    <t>MR022</t>
  </si>
  <si>
    <t>MR023</t>
  </si>
  <si>
    <t>MR024</t>
  </si>
  <si>
    <t>MR025</t>
  </si>
  <si>
    <t>MR026</t>
  </si>
  <si>
    <t>MR027</t>
  </si>
  <si>
    <t>MR028</t>
  </si>
  <si>
    <t>MR029</t>
  </si>
  <si>
    <t>MR030</t>
  </si>
  <si>
    <t>MR031</t>
  </si>
  <si>
    <t>MR032</t>
  </si>
  <si>
    <t>MR033</t>
  </si>
  <si>
    <t>M</t>
  </si>
  <si>
    <t>MR034</t>
  </si>
  <si>
    <t>MR035</t>
  </si>
  <si>
    <t>MR036</t>
  </si>
  <si>
    <t>MR037</t>
  </si>
  <si>
    <t>MR038</t>
  </si>
  <si>
    <t>MR039</t>
  </si>
  <si>
    <t>MR040</t>
  </si>
  <si>
    <t>MR045</t>
  </si>
  <si>
    <t>MR046</t>
  </si>
  <si>
    <t>H</t>
  </si>
  <si>
    <t>MR049</t>
  </si>
  <si>
    <t>MR052</t>
  </si>
  <si>
    <t>MR055</t>
  </si>
  <si>
    <t>MR056</t>
  </si>
  <si>
    <t>MR057</t>
  </si>
  <si>
    <t>MR058</t>
  </si>
  <si>
    <t>MR059</t>
  </si>
  <si>
    <t>MR060</t>
  </si>
  <si>
    <t>MR061</t>
  </si>
  <si>
    <t>MR063</t>
  </si>
  <si>
    <t>MR064</t>
  </si>
  <si>
    <t>MR065</t>
  </si>
  <si>
    <t>MR067</t>
  </si>
  <si>
    <t>MR068</t>
  </si>
  <si>
    <t>MR069</t>
  </si>
  <si>
    <t>MR070</t>
  </si>
  <si>
    <t>MR071</t>
  </si>
  <si>
    <t>MR072</t>
  </si>
  <si>
    <t>MR157</t>
  </si>
  <si>
    <t>MR158</t>
  </si>
  <si>
    <t>MR160</t>
  </si>
  <si>
    <t>MR162</t>
  </si>
  <si>
    <t>MR163</t>
  </si>
  <si>
    <t>MR164</t>
  </si>
  <si>
    <t>MR165</t>
  </si>
  <si>
    <t>MR166</t>
  </si>
  <si>
    <t>MR167</t>
  </si>
  <si>
    <t>MR168</t>
  </si>
  <si>
    <t>MR169</t>
  </si>
  <si>
    <t>MR170</t>
  </si>
  <si>
    <t>MR171</t>
  </si>
  <si>
    <t>MR172</t>
  </si>
  <si>
    <t>MR173</t>
  </si>
  <si>
    <t>MR174</t>
  </si>
  <si>
    <t>MR175</t>
  </si>
  <si>
    <t>MR176</t>
  </si>
  <si>
    <t>MR177</t>
  </si>
  <si>
    <t>MR178</t>
  </si>
  <si>
    <t>MR179</t>
  </si>
  <si>
    <t>MR180</t>
  </si>
  <si>
    <t>MR181</t>
  </si>
  <si>
    <t>MR182</t>
  </si>
  <si>
    <t>MR183</t>
  </si>
  <si>
    <t>MR184</t>
  </si>
  <si>
    <t>MR185</t>
  </si>
  <si>
    <t>MR186</t>
  </si>
  <si>
    <t>MR187</t>
  </si>
  <si>
    <t>MR188</t>
  </si>
  <si>
    <t>MR189</t>
  </si>
  <si>
    <t>MR190</t>
  </si>
  <si>
    <t>MR191</t>
  </si>
  <si>
    <t>MR192</t>
  </si>
  <si>
    <t>MR193</t>
  </si>
  <si>
    <t>MR194</t>
  </si>
  <si>
    <t>MR195</t>
  </si>
  <si>
    <t>MR196</t>
  </si>
  <si>
    <t>MR197</t>
  </si>
  <si>
    <t>MR198</t>
  </si>
  <si>
    <t>MR199</t>
  </si>
  <si>
    <t>MR200</t>
  </si>
  <si>
    <t>MR201</t>
  </si>
  <si>
    <t>MR202</t>
  </si>
  <si>
    <t>MR203</t>
  </si>
  <si>
    <t>MR204</t>
  </si>
  <si>
    <t>MR205</t>
  </si>
  <si>
    <t>MR206</t>
  </si>
  <si>
    <t>MR207</t>
  </si>
  <si>
    <t>MR208</t>
  </si>
  <si>
    <t>MR209</t>
  </si>
  <si>
    <t>MR210</t>
  </si>
  <si>
    <t>MR212</t>
  </si>
  <si>
    <t>MR213</t>
  </si>
  <si>
    <t>MR214</t>
  </si>
  <si>
    <t>MR215</t>
  </si>
  <si>
    <t>MR216</t>
  </si>
  <si>
    <t>MR217</t>
  </si>
  <si>
    <t>MR219</t>
  </si>
  <si>
    <t>MR220</t>
  </si>
  <si>
    <t>MR222</t>
  </si>
  <si>
    <t>MR223</t>
  </si>
  <si>
    <t>MR224</t>
  </si>
  <si>
    <t>MR225</t>
  </si>
  <si>
    <t>MR226</t>
  </si>
  <si>
    <t>MR227</t>
  </si>
  <si>
    <t>MR229</t>
  </si>
  <si>
    <t>MR230</t>
  </si>
  <si>
    <t>MR233</t>
  </si>
  <si>
    <t>MR234</t>
  </si>
  <si>
    <t>MR236</t>
  </si>
  <si>
    <t>MR237</t>
  </si>
  <si>
    <t>MR239</t>
  </si>
  <si>
    <t>MR243</t>
  </si>
  <si>
    <t>MR244</t>
  </si>
  <si>
    <t>MR247</t>
  </si>
  <si>
    <t>MR248</t>
  </si>
  <si>
    <t>MR249</t>
  </si>
  <si>
    <t>MR250</t>
  </si>
  <si>
    <t>MR251</t>
  </si>
  <si>
    <t>MR252</t>
  </si>
  <si>
    <t>MR253</t>
  </si>
  <si>
    <t>MR254</t>
  </si>
  <si>
    <t>MR255</t>
  </si>
  <si>
    <t>MR256</t>
  </si>
  <si>
    <t>MR257</t>
  </si>
  <si>
    <t>J</t>
  </si>
  <si>
    <t>MR258</t>
  </si>
  <si>
    <t>M3, F2</t>
  </si>
  <si>
    <t>0,29; 0,14</t>
  </si>
  <si>
    <t>MR259</t>
  </si>
  <si>
    <t>MR260</t>
  </si>
  <si>
    <t>MR261</t>
  </si>
  <si>
    <t>MR262</t>
  </si>
  <si>
    <t>MR263</t>
  </si>
  <si>
    <t>MR264</t>
  </si>
  <si>
    <t>MR265</t>
  </si>
  <si>
    <t>MR266</t>
  </si>
  <si>
    <t>MR267</t>
  </si>
  <si>
    <t>MR268</t>
  </si>
  <si>
    <t>MR269</t>
  </si>
  <si>
    <t>MR270</t>
  </si>
  <si>
    <t>MR271</t>
  </si>
  <si>
    <t>MR272</t>
  </si>
  <si>
    <t>MR273</t>
  </si>
  <si>
    <t>MR274</t>
  </si>
  <si>
    <t>MR275</t>
  </si>
  <si>
    <t>MR276</t>
  </si>
  <si>
    <t>MR277</t>
  </si>
  <si>
    <t>MR278</t>
  </si>
  <si>
    <t>MR279</t>
  </si>
  <si>
    <t>MR280</t>
  </si>
  <si>
    <t>MR281</t>
  </si>
  <si>
    <t>MR282</t>
  </si>
  <si>
    <t>MR283</t>
  </si>
  <si>
    <t>MR284</t>
  </si>
  <si>
    <t>MR285</t>
  </si>
  <si>
    <t>MR286</t>
  </si>
  <si>
    <t>MR287</t>
  </si>
  <si>
    <t>MR288</t>
  </si>
  <si>
    <t>MR289</t>
  </si>
  <si>
    <t>MR290</t>
  </si>
  <si>
    <t>MR291</t>
  </si>
  <si>
    <t>MR292</t>
  </si>
  <si>
    <t>MR293</t>
  </si>
  <si>
    <t>MR294</t>
  </si>
  <si>
    <t>MR295</t>
  </si>
  <si>
    <t>MR296</t>
  </si>
  <si>
    <t>MR297</t>
  </si>
  <si>
    <t>MR305</t>
  </si>
  <si>
    <t>MR306</t>
  </si>
  <si>
    <t>MR308</t>
  </si>
  <si>
    <t>MR309</t>
  </si>
  <si>
    <t>MR310</t>
  </si>
  <si>
    <t>MR311</t>
  </si>
  <si>
    <t>MR313</t>
  </si>
  <si>
    <t>MR315</t>
  </si>
  <si>
    <t>MR316</t>
  </si>
  <si>
    <t>MR317</t>
  </si>
  <si>
    <t>MR318</t>
  </si>
  <si>
    <t>MR320</t>
  </si>
  <si>
    <t>MR321</t>
  </si>
  <si>
    <t>MR322</t>
  </si>
  <si>
    <t>MR323</t>
  </si>
  <si>
    <t>MR324</t>
  </si>
  <si>
    <t>MR325</t>
  </si>
  <si>
    <t>MR327</t>
  </si>
  <si>
    <t>MR328</t>
  </si>
  <si>
    <t>MR329</t>
  </si>
  <si>
    <t>MR330</t>
  </si>
  <si>
    <t>MR331</t>
  </si>
  <si>
    <t>MR332</t>
  </si>
  <si>
    <t>MR333</t>
  </si>
  <si>
    <t>MR334</t>
  </si>
  <si>
    <t>MR335</t>
  </si>
  <si>
    <t>MR336</t>
  </si>
  <si>
    <t>MR337</t>
  </si>
  <si>
    <t>MR338</t>
  </si>
  <si>
    <t>MR339</t>
  </si>
  <si>
    <t>MR340</t>
  </si>
  <si>
    <t>MR341</t>
  </si>
  <si>
    <t>MR342</t>
  </si>
  <si>
    <t>MR343</t>
  </si>
  <si>
    <t>MR344</t>
  </si>
  <si>
    <t>MR346</t>
  </si>
  <si>
    <t>MR349</t>
  </si>
  <si>
    <t>MR350</t>
  </si>
  <si>
    <t>MR351</t>
  </si>
  <si>
    <t>MR352</t>
  </si>
  <si>
    <t>MR353</t>
  </si>
  <si>
    <t>MR354</t>
  </si>
  <si>
    <t>MR357</t>
  </si>
  <si>
    <t>MR358</t>
  </si>
  <si>
    <t>MR359</t>
  </si>
  <si>
    <t>MR360</t>
  </si>
  <si>
    <t>MR361</t>
  </si>
  <si>
    <t>MR362</t>
  </si>
  <si>
    <t>MR363</t>
  </si>
  <si>
    <t>MR364</t>
  </si>
  <si>
    <t>MR365</t>
  </si>
  <si>
    <t>MR366</t>
  </si>
  <si>
    <t>MR367</t>
  </si>
  <si>
    <t>MR368</t>
  </si>
  <si>
    <t>MR369</t>
  </si>
  <si>
    <t>MR370</t>
  </si>
  <si>
    <t>MR371</t>
  </si>
  <si>
    <t>MR372</t>
  </si>
  <si>
    <t>MR374</t>
  </si>
  <si>
    <t>MR375</t>
  </si>
  <si>
    <t>30.5</t>
  </si>
  <si>
    <t>MR377</t>
  </si>
  <si>
    <t>MR378</t>
  </si>
  <si>
    <t>3.1</t>
  </si>
  <si>
    <t>MR379</t>
  </si>
  <si>
    <t>7.2</t>
  </si>
  <si>
    <t>MR380</t>
  </si>
  <si>
    <t>MR381</t>
  </si>
  <si>
    <t>21.9</t>
  </si>
  <si>
    <t>MR382</t>
  </si>
  <si>
    <t>2.8</t>
  </si>
  <si>
    <t>MR384</t>
  </si>
  <si>
    <t>MR385</t>
  </si>
  <si>
    <t>2.4</t>
  </si>
  <si>
    <t>MR386</t>
  </si>
  <si>
    <t>1.9</t>
  </si>
  <si>
    <t>MR387</t>
  </si>
  <si>
    <t>MR388</t>
  </si>
  <si>
    <t>13.5</t>
  </si>
  <si>
    <t>MR389</t>
  </si>
  <si>
    <t>19.5</t>
  </si>
  <si>
    <t>MR390</t>
  </si>
  <si>
    <t>29.5</t>
  </si>
  <si>
    <t>MR391</t>
  </si>
  <si>
    <t>MR392</t>
  </si>
  <si>
    <t>13.6</t>
  </si>
  <si>
    <t>MR393</t>
  </si>
  <si>
    <t>MR395</t>
  </si>
  <si>
    <t>5.6</t>
  </si>
  <si>
    <t>MR396</t>
  </si>
  <si>
    <t>7.5</t>
  </si>
  <si>
    <t>MR397</t>
  </si>
  <si>
    <t>10.8</t>
  </si>
  <si>
    <t>MR401</t>
  </si>
  <si>
    <t>4.5</t>
  </si>
  <si>
    <t>MR403</t>
  </si>
  <si>
    <t>21.7</t>
  </si>
  <si>
    <t>MR406</t>
  </si>
  <si>
    <t>MR407</t>
  </si>
  <si>
    <t>MR409</t>
  </si>
  <si>
    <t>MR410</t>
  </si>
  <si>
    <t>MR411</t>
  </si>
  <si>
    <t>MR413</t>
  </si>
  <si>
    <t>0.8</t>
  </si>
  <si>
    <t>MR414</t>
  </si>
  <si>
    <t>0.26</t>
  </si>
  <si>
    <t>MR415</t>
  </si>
  <si>
    <t>MR416</t>
  </si>
  <si>
    <t>MR417</t>
  </si>
  <si>
    <t>0.3</t>
  </si>
  <si>
    <t>MR418</t>
  </si>
  <si>
    <t>MR419</t>
  </si>
  <si>
    <t>1.7</t>
  </si>
  <si>
    <t>MR420</t>
  </si>
  <si>
    <t>MR421</t>
  </si>
  <si>
    <t>MR422</t>
  </si>
  <si>
    <t>0.5</t>
  </si>
  <si>
    <t>MR423</t>
  </si>
  <si>
    <t>MR424</t>
  </si>
  <si>
    <t>0.9</t>
  </si>
  <si>
    <t>MR425</t>
  </si>
  <si>
    <t>MR426</t>
  </si>
  <si>
    <t>0.1</t>
  </si>
  <si>
    <t>MR428</t>
  </si>
  <si>
    <t>MR429</t>
  </si>
  <si>
    <t>MR430</t>
  </si>
  <si>
    <t>MR432</t>
  </si>
  <si>
    <t>MR433</t>
  </si>
  <si>
    <t>MR434</t>
  </si>
  <si>
    <t>MR435</t>
  </si>
  <si>
    <t>MR437</t>
  </si>
  <si>
    <t>MR439</t>
  </si>
  <si>
    <t>MR440</t>
  </si>
  <si>
    <t>MR441</t>
  </si>
  <si>
    <t>MR442</t>
  </si>
  <si>
    <t>MR443</t>
  </si>
  <si>
    <t>MR444</t>
  </si>
  <si>
    <t>MR445</t>
  </si>
  <si>
    <t>MR446</t>
  </si>
  <si>
    <t>MR447</t>
  </si>
  <si>
    <t>MR448</t>
  </si>
  <si>
    <t>MR450</t>
  </si>
  <si>
    <t>MR451</t>
  </si>
  <si>
    <t>MR452</t>
  </si>
  <si>
    <t>MR453</t>
  </si>
  <si>
    <t>MR455</t>
  </si>
  <si>
    <t>MR456</t>
  </si>
  <si>
    <t>MR457</t>
  </si>
  <si>
    <t>MR458</t>
  </si>
  <si>
    <t>MR459</t>
  </si>
  <si>
    <t>MR460</t>
  </si>
  <si>
    <t>MR461</t>
  </si>
  <si>
    <t>MR462</t>
  </si>
  <si>
    <t>MR463</t>
  </si>
  <si>
    <t>MR464</t>
  </si>
  <si>
    <t>MR465</t>
  </si>
  <si>
    <t>MR467</t>
  </si>
  <si>
    <t>MR468</t>
  </si>
  <si>
    <t>MR469</t>
  </si>
  <si>
    <t>MR470</t>
  </si>
  <si>
    <t>MR471</t>
  </si>
  <si>
    <t>MR472</t>
  </si>
  <si>
    <t>MR473</t>
  </si>
  <si>
    <t>MR474</t>
  </si>
  <si>
    <t>MR475</t>
  </si>
  <si>
    <t>-</t>
  </si>
  <si>
    <t>MR476</t>
  </si>
  <si>
    <t>MR477</t>
  </si>
  <si>
    <t>MR478</t>
  </si>
  <si>
    <t>MR512</t>
  </si>
  <si>
    <t>MR513</t>
  </si>
  <si>
    <t>MR514</t>
  </si>
  <si>
    <t>MR515</t>
  </si>
  <si>
    <t>MR516</t>
  </si>
  <si>
    <t>MR517</t>
  </si>
  <si>
    <t>MR518</t>
  </si>
  <si>
    <t>MR519</t>
  </si>
  <si>
    <t>MR520</t>
  </si>
  <si>
    <t>MR521</t>
  </si>
  <si>
    <t>MR522</t>
  </si>
  <si>
    <t>MR523</t>
  </si>
  <si>
    <t>MR524</t>
  </si>
  <si>
    <t>MR525</t>
  </si>
  <si>
    <t>MR527</t>
  </si>
  <si>
    <t>MR531</t>
  </si>
  <si>
    <t>MR532</t>
  </si>
  <si>
    <t>MR537</t>
  </si>
  <si>
    <t>MR538</t>
  </si>
  <si>
    <t>MR539</t>
  </si>
  <si>
    <t>MR542</t>
  </si>
  <si>
    <t>MR543</t>
  </si>
  <si>
    <t>MR545</t>
  </si>
  <si>
    <t>MR547</t>
  </si>
  <si>
    <t>MR548</t>
  </si>
  <si>
    <t>MR549</t>
  </si>
  <si>
    <t>MR550</t>
  </si>
  <si>
    <t>MR551</t>
  </si>
  <si>
    <t>MR552</t>
  </si>
  <si>
    <t>MR553</t>
  </si>
  <si>
    <t>MR555</t>
  </si>
  <si>
    <t>MR556</t>
  </si>
  <si>
    <t>MR557</t>
  </si>
  <si>
    <t>MR558</t>
  </si>
  <si>
    <t>MR559</t>
  </si>
  <si>
    <t>MR560</t>
  </si>
  <si>
    <t>MR563</t>
  </si>
  <si>
    <t>P.blochii</t>
  </si>
  <si>
    <t>MR564</t>
  </si>
  <si>
    <t>P. Blochii</t>
  </si>
  <si>
    <t>MR565</t>
  </si>
  <si>
    <t>MR568</t>
  </si>
  <si>
    <t>MR569</t>
  </si>
  <si>
    <t>MR570</t>
  </si>
  <si>
    <t>MR571</t>
  </si>
  <si>
    <t>MR592</t>
  </si>
  <si>
    <t>MR593</t>
  </si>
  <si>
    <t>MR594</t>
  </si>
  <si>
    <t>MR600</t>
  </si>
  <si>
    <t>MR601</t>
  </si>
  <si>
    <t>MR602</t>
  </si>
  <si>
    <t>MR603</t>
  </si>
  <si>
    <t>MR606</t>
  </si>
  <si>
    <t>MR607</t>
  </si>
  <si>
    <t>MR608</t>
  </si>
  <si>
    <t>MR609</t>
  </si>
  <si>
    <t>MR611</t>
  </si>
  <si>
    <t>MR605</t>
  </si>
  <si>
    <t>MR612</t>
  </si>
  <si>
    <t>MR613</t>
  </si>
  <si>
    <t>MR614</t>
  </si>
  <si>
    <t>MR615</t>
  </si>
  <si>
    <t>MR616</t>
  </si>
  <si>
    <t>MR617</t>
  </si>
  <si>
    <t>MR618</t>
  </si>
  <si>
    <t>MR619</t>
  </si>
  <si>
    <t>MR620</t>
  </si>
  <si>
    <t>MR621</t>
  </si>
  <si>
    <t>MR622</t>
  </si>
  <si>
    <t>MR623</t>
  </si>
  <si>
    <t>MR624</t>
  </si>
  <si>
    <t>MR625</t>
  </si>
  <si>
    <t>MR626</t>
  </si>
  <si>
    <t>MR627</t>
  </si>
  <si>
    <t>MR628</t>
  </si>
  <si>
    <t>MR629</t>
  </si>
  <si>
    <t>MR630</t>
  </si>
  <si>
    <t>MR631</t>
  </si>
  <si>
    <t>MR632</t>
  </si>
  <si>
    <t>MR633</t>
  </si>
  <si>
    <t>MR636</t>
  </si>
  <si>
    <t>MR637</t>
  </si>
  <si>
    <t>MR638</t>
  </si>
  <si>
    <t>MR639</t>
  </si>
  <si>
    <t>MR641</t>
  </si>
  <si>
    <t>MR642</t>
  </si>
  <si>
    <t>MR643</t>
  </si>
  <si>
    <t>MR644</t>
  </si>
  <si>
    <t>MR645</t>
  </si>
  <si>
    <t>MR646</t>
  </si>
  <si>
    <t>MR647</t>
  </si>
  <si>
    <t>MR648</t>
  </si>
  <si>
    <t>MR649</t>
  </si>
  <si>
    <t>MR650</t>
  </si>
  <si>
    <t>MR651</t>
  </si>
  <si>
    <t>MR652</t>
  </si>
  <si>
    <t>MR653</t>
  </si>
  <si>
    <t>MR654</t>
  </si>
  <si>
    <t>MR655</t>
  </si>
  <si>
    <t>MR656</t>
  </si>
  <si>
    <t>MR657</t>
  </si>
  <si>
    <t>MR658</t>
  </si>
  <si>
    <t>MR659</t>
  </si>
  <si>
    <t>MR660</t>
  </si>
  <si>
    <t>MR661</t>
  </si>
  <si>
    <t>MR662</t>
  </si>
  <si>
    <t>MR663</t>
  </si>
  <si>
    <t>MR664</t>
  </si>
  <si>
    <t>MR665</t>
  </si>
  <si>
    <t>MR666</t>
  </si>
  <si>
    <t>MR667</t>
  </si>
  <si>
    <t>MR668</t>
  </si>
  <si>
    <t>MR669</t>
  </si>
  <si>
    <t>MR670</t>
  </si>
  <si>
    <t>MR671</t>
  </si>
  <si>
    <t>MR672</t>
  </si>
  <si>
    <t>MR673</t>
  </si>
  <si>
    <t>MR674</t>
  </si>
  <si>
    <t>MR675</t>
  </si>
  <si>
    <t>MR676</t>
  </si>
  <si>
    <t>MR677</t>
  </si>
  <si>
    <t>MR678</t>
  </si>
  <si>
    <t>MR679</t>
  </si>
  <si>
    <t>MR680</t>
  </si>
  <si>
    <t>MR681</t>
  </si>
  <si>
    <t>MR682</t>
  </si>
  <si>
    <t>MR686</t>
  </si>
  <si>
    <t>MR687</t>
  </si>
  <si>
    <t>MR688</t>
  </si>
  <si>
    <t>MR689</t>
  </si>
  <si>
    <t>MR690</t>
  </si>
  <si>
    <t>MR691</t>
  </si>
  <si>
    <t>MR692</t>
  </si>
  <si>
    <t>MR693</t>
  </si>
  <si>
    <t>MR694</t>
  </si>
  <si>
    <t>MR695</t>
  </si>
  <si>
    <t>MR696</t>
  </si>
  <si>
    <t>MR697</t>
  </si>
  <si>
    <t>MR698</t>
  </si>
  <si>
    <t>MR699</t>
  </si>
  <si>
    <t>MR700</t>
  </si>
  <si>
    <t>MR701</t>
  </si>
  <si>
    <t>MR702</t>
  </si>
  <si>
    <t>MR716</t>
  </si>
  <si>
    <t>MR717</t>
  </si>
  <si>
    <t>MR722</t>
  </si>
  <si>
    <t>Season</t>
  </si>
  <si>
    <t>FishID</t>
  </si>
  <si>
    <t>MR723</t>
  </si>
  <si>
    <t>MR724</t>
  </si>
  <si>
    <t>MR725</t>
  </si>
  <si>
    <t>MR726</t>
  </si>
  <si>
    <t>MR727</t>
  </si>
  <si>
    <t>MR728</t>
  </si>
  <si>
    <t>MR729</t>
  </si>
  <si>
    <t>MR730</t>
  </si>
  <si>
    <t>MR731</t>
  </si>
  <si>
    <t>MR733</t>
  </si>
  <si>
    <t>MR734</t>
  </si>
  <si>
    <t>MR735</t>
  </si>
  <si>
    <t>MR736</t>
  </si>
  <si>
    <t>MR737</t>
  </si>
  <si>
    <t>MR738</t>
  </si>
  <si>
    <t>MR739</t>
  </si>
  <si>
    <t>MR740</t>
  </si>
  <si>
    <t>MR741</t>
  </si>
  <si>
    <t>MR742</t>
  </si>
  <si>
    <t>MR743</t>
  </si>
  <si>
    <t>MR744</t>
  </si>
  <si>
    <t>MR745</t>
  </si>
  <si>
    <t>MR746</t>
  </si>
  <si>
    <t>MR747</t>
  </si>
  <si>
    <t>MR732</t>
  </si>
  <si>
    <t>MR748</t>
  </si>
  <si>
    <t>MR749</t>
  </si>
  <si>
    <t>MR750</t>
  </si>
  <si>
    <t>MR751</t>
  </si>
  <si>
    <t>MR752</t>
  </si>
  <si>
    <t>MR753</t>
  </si>
  <si>
    <t>MR754</t>
  </si>
  <si>
    <t>MR755</t>
  </si>
  <si>
    <t>MR756</t>
  </si>
  <si>
    <t>MR757</t>
  </si>
  <si>
    <t>MR758</t>
  </si>
  <si>
    <t>MR759</t>
  </si>
  <si>
    <t>MR760</t>
  </si>
  <si>
    <t>MR761</t>
  </si>
  <si>
    <t>MR762</t>
  </si>
  <si>
    <t>MR763</t>
  </si>
  <si>
    <t>MR764</t>
  </si>
  <si>
    <t>MR765</t>
  </si>
  <si>
    <t>MR766</t>
  </si>
  <si>
    <t>MR767</t>
  </si>
  <si>
    <t>MR768</t>
  </si>
  <si>
    <t>MR769</t>
  </si>
  <si>
    <t>MR770</t>
  </si>
  <si>
    <t>MR771</t>
  </si>
  <si>
    <t>MR772</t>
  </si>
  <si>
    <t>Column Labels</t>
  </si>
  <si>
    <t>(blank)</t>
  </si>
  <si>
    <t>Grand Total</t>
  </si>
  <si>
    <t>Row Labels</t>
  </si>
  <si>
    <t>Count of FishID</t>
  </si>
  <si>
    <t>df</t>
  </si>
  <si>
    <t>F Total</t>
  </si>
  <si>
    <t>M Total</t>
  </si>
  <si>
    <t>Average GSI</t>
  </si>
  <si>
    <t>STD</t>
  </si>
  <si>
    <t>n</t>
  </si>
  <si>
    <t>SE</t>
  </si>
  <si>
    <t>S1</t>
  </si>
  <si>
    <t>S2</t>
  </si>
  <si>
    <t>S3</t>
  </si>
  <si>
    <t>S4</t>
  </si>
  <si>
    <t>Sum</t>
  </si>
  <si>
    <t>Average of GSI</t>
  </si>
  <si>
    <t>F0</t>
  </si>
  <si>
    <t>F1</t>
  </si>
  <si>
    <t>F2</t>
  </si>
  <si>
    <t>F3</t>
  </si>
  <si>
    <t>Observed counts</t>
  </si>
  <si>
    <t>Predicted counts</t>
  </si>
  <si>
    <t>Chi-square</t>
  </si>
  <si>
    <t>p</t>
  </si>
  <si>
    <t>MR780</t>
  </si>
  <si>
    <t>I</t>
  </si>
  <si>
    <t>MR778</t>
  </si>
  <si>
    <t>MR773</t>
  </si>
  <si>
    <t>MR774</t>
  </si>
  <si>
    <t>MR777</t>
  </si>
  <si>
    <t>MR776</t>
  </si>
  <si>
    <t>MR779</t>
  </si>
  <si>
    <t>MR775</t>
  </si>
  <si>
    <t>MR781</t>
  </si>
  <si>
    <t>MR782</t>
  </si>
  <si>
    <t>MR783</t>
  </si>
  <si>
    <t>MR784</t>
  </si>
  <si>
    <t>MR785</t>
  </si>
  <si>
    <t>MR786</t>
  </si>
  <si>
    <t>MR787</t>
  </si>
  <si>
    <t>MR788</t>
  </si>
  <si>
    <t>MR789</t>
  </si>
  <si>
    <t>MR790</t>
  </si>
  <si>
    <t>MR791</t>
  </si>
  <si>
    <t>MR792</t>
  </si>
  <si>
    <t>MR793</t>
  </si>
  <si>
    <t>MR794</t>
  </si>
  <si>
    <t>MR796</t>
  </si>
  <si>
    <t>MR797</t>
  </si>
  <si>
    <t>MR798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</si>
</sst>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C09]dd\ mmmm\ yyyy;@"/>
    <numFmt numFmtId="165" formatCode="0.0"/>
    <numFmt numFmtId="166" formatCode="0.000"/>
    <numFmt numFmtId="167" formatCode="0.0000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1" fillId="0" borderId="0" xfId="0" applyFont="1"/>
    <xf numFmtId="166" fontId="0" fillId="0" borderId="0" xfId="0" applyNumberFormat="1"/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165" fontId="2" fillId="0" borderId="0" xfId="0" applyNumberFormat="1" applyFont="1"/>
    <xf numFmtId="0" fontId="1" fillId="0" borderId="1" xfId="0" applyFont="1" applyBorder="1"/>
    <xf numFmtId="49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165" fontId="1" fillId="0" borderId="1" xfId="0" applyNumberFormat="1" applyFont="1" applyBorder="1"/>
    <xf numFmtId="164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left" indent="2"/>
    </xf>
    <xf numFmtId="0" fontId="2" fillId="0" borderId="0" xfId="0" applyFont="1" applyAlignment="1">
      <alignment horizontal="left" indent="2"/>
    </xf>
    <xf numFmtId="1" fontId="2" fillId="0" borderId="0" xfId="0" applyNumberFormat="1" applyFont="1" applyAlignment="1">
      <alignment horizontal="left" indent="2"/>
    </xf>
    <xf numFmtId="0" fontId="4" fillId="0" borderId="0" xfId="0" applyFont="1"/>
    <xf numFmtId="164" fontId="1" fillId="0" borderId="1" xfId="0" applyNumberFormat="1" applyFont="1" applyBorder="1"/>
    <xf numFmtId="0" fontId="0" fillId="0" borderId="0" xfId="0" pivotButton="1"/>
    <xf numFmtId="0" fontId="6" fillId="2" borderId="2" xfId="0" applyFont="1" applyFill="1" applyBorder="1"/>
    <xf numFmtId="0" fontId="0" fillId="0" borderId="0" xfId="0" applyAlignment="1">
      <alignment horizontal="left"/>
    </xf>
    <xf numFmtId="0" fontId="7" fillId="0" borderId="0" xfId="0" applyFont="1"/>
    <xf numFmtId="1" fontId="0" fillId="0" borderId="0" xfId="0" applyNumberFormat="1" applyAlignment="1">
      <alignment horizontal="left"/>
    </xf>
    <xf numFmtId="0" fontId="0" fillId="3" borderId="0" xfId="0" applyFill="1"/>
    <xf numFmtId="167" fontId="0" fillId="0" borderId="0" xfId="0" applyNumberFormat="1"/>
    <xf numFmtId="166" fontId="4" fillId="0" borderId="0" xfId="0" applyNumberFormat="1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numFmt numFmtId="166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4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styles" Target="styles.xml"/><Relationship Id="rId5" Type="http://schemas.openxmlformats.org/officeDocument/2006/relationships/worksheet" Target="worksheets/sheet2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1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</c:numLit>
          </c:cat>
          <c:val>
            <c:numLit>
              <c:formatCode>General</c:formatCode>
              <c:ptCount val="15"/>
              <c:pt idx="0">
                <c:v>1</c:v>
              </c:pt>
              <c:pt idx="1">
                <c:v>2</c:v>
              </c:pt>
              <c:pt idx="2">
                <c:v>14</c:v>
              </c:pt>
              <c:pt idx="3">
                <c:v>35</c:v>
              </c:pt>
              <c:pt idx="4">
                <c:v>47</c:v>
              </c:pt>
              <c:pt idx="5">
                <c:v>65</c:v>
              </c:pt>
              <c:pt idx="6">
                <c:v>62</c:v>
              </c:pt>
              <c:pt idx="7">
                <c:v>38</c:v>
              </c:pt>
              <c:pt idx="8">
                <c:v>20</c:v>
              </c:pt>
              <c:pt idx="9">
                <c:v>15</c:v>
              </c:pt>
              <c:pt idx="10">
                <c:v>6</c:v>
              </c:pt>
              <c:pt idx="11">
                <c:v>4</c:v>
              </c:pt>
              <c:pt idx="12">
                <c:v>1</c:v>
              </c:pt>
              <c:pt idx="13">
                <c:v>0</c:v>
              </c:pt>
              <c:pt idx="14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5679-497C-8E58-4C36727A6B42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1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</c:num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1</c:v>
              </c:pt>
              <c:pt idx="2">
                <c:v>14</c:v>
              </c:pt>
              <c:pt idx="3">
                <c:v>23</c:v>
              </c:pt>
              <c:pt idx="4">
                <c:v>28</c:v>
              </c:pt>
              <c:pt idx="5">
                <c:v>34</c:v>
              </c:pt>
              <c:pt idx="6">
                <c:v>54</c:v>
              </c:pt>
              <c:pt idx="7">
                <c:v>34</c:v>
              </c:pt>
              <c:pt idx="8">
                <c:v>23</c:v>
              </c:pt>
              <c:pt idx="9">
                <c:v>7</c:v>
              </c:pt>
              <c:pt idx="10">
                <c:v>6</c:v>
              </c:pt>
              <c:pt idx="11">
                <c:v>5</c:v>
              </c:pt>
              <c:pt idx="12">
                <c:v>1</c:v>
              </c:pt>
              <c:pt idx="13">
                <c:v>1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679-497C-8E58-4C36727A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2493184"/>
        <c:axId val="842491744"/>
      </c:barChart>
      <c:catAx>
        <c:axId val="842493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Total</a:t>
                </a:r>
                <a:r>
                  <a:rPr lang="en-ZA" sz="1400" baseline="0"/>
                  <a:t> length (mm)</a:t>
                </a:r>
                <a:endParaRPr lang="en-ZA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91744"/>
        <c:crosses val="autoZero"/>
        <c:auto val="1"/>
        <c:lblAlgn val="ctr"/>
        <c:lblOffset val="100"/>
        <c:noMultiLvlLbl val="0"/>
      </c:catAx>
      <c:valAx>
        <c:axId val="842491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9318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2063491653640699"/>
          <c:y val="0.34052746640923742"/>
          <c:w val="9.9007938877389734E-2"/>
          <c:h val="0.137533024369518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v>M vs 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P.blochii!$E$2:$E$583</c:f>
              <c:numCache>
                <c:formatCode>General</c:formatCode>
                <c:ptCount val="582"/>
                <c:pt idx="0">
                  <c:v>213</c:v>
                </c:pt>
                <c:pt idx="1">
                  <c:v>212</c:v>
                </c:pt>
                <c:pt idx="2">
                  <c:v>205</c:v>
                </c:pt>
                <c:pt idx="3">
                  <c:v>247</c:v>
                </c:pt>
                <c:pt idx="4">
                  <c:v>256</c:v>
                </c:pt>
                <c:pt idx="5">
                  <c:v>211</c:v>
                </c:pt>
                <c:pt idx="6">
                  <c:v>250</c:v>
                </c:pt>
                <c:pt idx="7">
                  <c:v>209</c:v>
                </c:pt>
                <c:pt idx="8">
                  <c:v>257</c:v>
                </c:pt>
                <c:pt idx="9">
                  <c:v>215</c:v>
                </c:pt>
                <c:pt idx="10">
                  <c:v>291</c:v>
                </c:pt>
                <c:pt idx="11">
                  <c:v>246</c:v>
                </c:pt>
                <c:pt idx="12">
                  <c:v>232</c:v>
                </c:pt>
                <c:pt idx="13">
                  <c:v>220</c:v>
                </c:pt>
                <c:pt idx="14">
                  <c:v>221</c:v>
                </c:pt>
                <c:pt idx="15">
                  <c:v>215</c:v>
                </c:pt>
                <c:pt idx="16">
                  <c:v>240</c:v>
                </c:pt>
                <c:pt idx="17">
                  <c:v>249</c:v>
                </c:pt>
                <c:pt idx="18">
                  <c:v>258</c:v>
                </c:pt>
                <c:pt idx="19">
                  <c:v>273</c:v>
                </c:pt>
                <c:pt idx="20">
                  <c:v>244</c:v>
                </c:pt>
                <c:pt idx="21">
                  <c:v>205</c:v>
                </c:pt>
                <c:pt idx="22">
                  <c:v>215</c:v>
                </c:pt>
                <c:pt idx="23">
                  <c:v>210</c:v>
                </c:pt>
                <c:pt idx="24">
                  <c:v>226</c:v>
                </c:pt>
                <c:pt idx="25">
                  <c:v>233</c:v>
                </c:pt>
                <c:pt idx="26">
                  <c:v>210</c:v>
                </c:pt>
                <c:pt idx="27">
                  <c:v>195</c:v>
                </c:pt>
                <c:pt idx="28">
                  <c:v>248</c:v>
                </c:pt>
                <c:pt idx="29">
                  <c:v>245</c:v>
                </c:pt>
                <c:pt idx="30">
                  <c:v>245</c:v>
                </c:pt>
                <c:pt idx="31">
                  <c:v>232</c:v>
                </c:pt>
                <c:pt idx="32">
                  <c:v>205</c:v>
                </c:pt>
                <c:pt idx="33">
                  <c:v>211</c:v>
                </c:pt>
                <c:pt idx="34">
                  <c:v>238</c:v>
                </c:pt>
                <c:pt idx="35">
                  <c:v>219</c:v>
                </c:pt>
                <c:pt idx="36">
                  <c:v>231</c:v>
                </c:pt>
                <c:pt idx="37">
                  <c:v>220</c:v>
                </c:pt>
                <c:pt idx="38">
                  <c:v>207</c:v>
                </c:pt>
                <c:pt idx="39">
                  <c:v>224</c:v>
                </c:pt>
                <c:pt idx="40">
                  <c:v>226</c:v>
                </c:pt>
                <c:pt idx="41">
                  <c:v>218</c:v>
                </c:pt>
                <c:pt idx="42">
                  <c:v>220</c:v>
                </c:pt>
                <c:pt idx="43">
                  <c:v>232</c:v>
                </c:pt>
                <c:pt idx="44">
                  <c:v>234</c:v>
                </c:pt>
                <c:pt idx="45">
                  <c:v>241</c:v>
                </c:pt>
                <c:pt idx="46">
                  <c:v>171</c:v>
                </c:pt>
                <c:pt idx="47">
                  <c:v>229</c:v>
                </c:pt>
                <c:pt idx="48">
                  <c:v>273</c:v>
                </c:pt>
                <c:pt idx="49">
                  <c:v>237</c:v>
                </c:pt>
                <c:pt idx="50">
                  <c:v>225</c:v>
                </c:pt>
                <c:pt idx="51">
                  <c:v>210</c:v>
                </c:pt>
                <c:pt idx="52">
                  <c:v>264</c:v>
                </c:pt>
                <c:pt idx="53">
                  <c:v>260</c:v>
                </c:pt>
                <c:pt idx="54">
                  <c:v>240</c:v>
                </c:pt>
                <c:pt idx="55">
                  <c:v>236</c:v>
                </c:pt>
                <c:pt idx="56">
                  <c:v>202</c:v>
                </c:pt>
                <c:pt idx="57">
                  <c:v>209</c:v>
                </c:pt>
                <c:pt idx="58">
                  <c:v>232</c:v>
                </c:pt>
                <c:pt idx="59">
                  <c:v>189</c:v>
                </c:pt>
                <c:pt idx="60">
                  <c:v>248</c:v>
                </c:pt>
                <c:pt idx="61">
                  <c:v>225</c:v>
                </c:pt>
                <c:pt idx="62">
                  <c:v>285</c:v>
                </c:pt>
                <c:pt idx="63">
                  <c:v>216</c:v>
                </c:pt>
                <c:pt idx="64">
                  <c:v>220</c:v>
                </c:pt>
                <c:pt idx="65">
                  <c:v>231</c:v>
                </c:pt>
                <c:pt idx="66">
                  <c:v>252</c:v>
                </c:pt>
                <c:pt idx="67">
                  <c:v>225</c:v>
                </c:pt>
                <c:pt idx="68">
                  <c:v>219</c:v>
                </c:pt>
                <c:pt idx="69">
                  <c:v>282</c:v>
                </c:pt>
                <c:pt idx="70">
                  <c:v>235</c:v>
                </c:pt>
                <c:pt idx="71">
                  <c:v>245</c:v>
                </c:pt>
                <c:pt idx="72">
                  <c:v>256</c:v>
                </c:pt>
                <c:pt idx="73">
                  <c:v>251</c:v>
                </c:pt>
                <c:pt idx="74">
                  <c:v>256</c:v>
                </c:pt>
                <c:pt idx="75">
                  <c:v>271</c:v>
                </c:pt>
                <c:pt idx="76">
                  <c:v>253</c:v>
                </c:pt>
                <c:pt idx="77">
                  <c:v>265</c:v>
                </c:pt>
                <c:pt idx="78">
                  <c:v>262</c:v>
                </c:pt>
                <c:pt idx="79">
                  <c:v>251</c:v>
                </c:pt>
                <c:pt idx="80">
                  <c:v>220</c:v>
                </c:pt>
                <c:pt idx="81">
                  <c:v>290</c:v>
                </c:pt>
                <c:pt idx="82">
                  <c:v>253</c:v>
                </c:pt>
                <c:pt idx="83">
                  <c:v>239</c:v>
                </c:pt>
                <c:pt idx="84">
                  <c:v>265</c:v>
                </c:pt>
                <c:pt idx="85">
                  <c:v>250</c:v>
                </c:pt>
                <c:pt idx="86">
                  <c:v>237</c:v>
                </c:pt>
                <c:pt idx="87">
                  <c:v>272</c:v>
                </c:pt>
                <c:pt idx="88">
                  <c:v>225</c:v>
                </c:pt>
                <c:pt idx="89">
                  <c:v>269</c:v>
                </c:pt>
                <c:pt idx="90">
                  <c:v>246</c:v>
                </c:pt>
                <c:pt idx="91">
                  <c:v>275</c:v>
                </c:pt>
                <c:pt idx="92">
                  <c:v>260</c:v>
                </c:pt>
                <c:pt idx="93">
                  <c:v>275</c:v>
                </c:pt>
                <c:pt idx="94">
                  <c:v>242</c:v>
                </c:pt>
                <c:pt idx="95">
                  <c:v>254</c:v>
                </c:pt>
                <c:pt idx="96">
                  <c:v>251</c:v>
                </c:pt>
                <c:pt idx="97">
                  <c:v>288</c:v>
                </c:pt>
                <c:pt idx="98">
                  <c:v>244</c:v>
                </c:pt>
                <c:pt idx="99">
                  <c:v>223</c:v>
                </c:pt>
                <c:pt idx="100">
                  <c:v>224</c:v>
                </c:pt>
                <c:pt idx="101">
                  <c:v>213</c:v>
                </c:pt>
                <c:pt idx="102">
                  <c:v>268</c:v>
                </c:pt>
                <c:pt idx="103">
                  <c:v>304</c:v>
                </c:pt>
                <c:pt idx="104">
                  <c:v>260</c:v>
                </c:pt>
                <c:pt idx="105">
                  <c:v>251</c:v>
                </c:pt>
                <c:pt idx="106">
                  <c:v>239</c:v>
                </c:pt>
                <c:pt idx="107">
                  <c:v>400</c:v>
                </c:pt>
                <c:pt idx="108">
                  <c:v>239</c:v>
                </c:pt>
                <c:pt idx="109">
                  <c:v>242</c:v>
                </c:pt>
                <c:pt idx="110">
                  <c:v>248</c:v>
                </c:pt>
                <c:pt idx="111">
                  <c:v>248</c:v>
                </c:pt>
                <c:pt idx="112">
                  <c:v>273</c:v>
                </c:pt>
                <c:pt idx="113">
                  <c:v>240</c:v>
                </c:pt>
                <c:pt idx="114">
                  <c:v>217</c:v>
                </c:pt>
                <c:pt idx="115">
                  <c:v>240</c:v>
                </c:pt>
                <c:pt idx="116">
                  <c:v>229</c:v>
                </c:pt>
                <c:pt idx="117">
                  <c:v>231</c:v>
                </c:pt>
                <c:pt idx="118">
                  <c:v>196</c:v>
                </c:pt>
                <c:pt idx="119">
                  <c:v>241</c:v>
                </c:pt>
                <c:pt idx="120">
                  <c:v>229</c:v>
                </c:pt>
                <c:pt idx="121">
                  <c:v>258</c:v>
                </c:pt>
                <c:pt idx="122">
                  <c:v>258</c:v>
                </c:pt>
                <c:pt idx="123">
                  <c:v>236</c:v>
                </c:pt>
                <c:pt idx="124">
                  <c:v>270</c:v>
                </c:pt>
                <c:pt idx="125">
                  <c:v>215</c:v>
                </c:pt>
                <c:pt idx="126">
                  <c:v>326</c:v>
                </c:pt>
                <c:pt idx="127">
                  <c:v>242</c:v>
                </c:pt>
                <c:pt idx="128">
                  <c:v>185</c:v>
                </c:pt>
                <c:pt idx="129">
                  <c:v>259</c:v>
                </c:pt>
                <c:pt idx="130">
                  <c:v>161</c:v>
                </c:pt>
                <c:pt idx="131">
                  <c:v>240</c:v>
                </c:pt>
                <c:pt idx="132">
                  <c:v>186</c:v>
                </c:pt>
                <c:pt idx="133">
                  <c:v>260</c:v>
                </c:pt>
                <c:pt idx="134">
                  <c:v>188</c:v>
                </c:pt>
                <c:pt idx="135">
                  <c:v>260</c:v>
                </c:pt>
                <c:pt idx="136">
                  <c:v>240</c:v>
                </c:pt>
                <c:pt idx="137">
                  <c:v>295</c:v>
                </c:pt>
                <c:pt idx="138">
                  <c:v>126</c:v>
                </c:pt>
                <c:pt idx="139">
                  <c:v>238</c:v>
                </c:pt>
                <c:pt idx="140">
                  <c:v>179</c:v>
                </c:pt>
                <c:pt idx="141">
                  <c:v>245</c:v>
                </c:pt>
                <c:pt idx="142">
                  <c:v>218</c:v>
                </c:pt>
                <c:pt idx="143">
                  <c:v>246</c:v>
                </c:pt>
                <c:pt idx="144">
                  <c:v>230</c:v>
                </c:pt>
                <c:pt idx="145">
                  <c:v>251</c:v>
                </c:pt>
                <c:pt idx="146">
                  <c:v>225</c:v>
                </c:pt>
                <c:pt idx="147">
                  <c:v>250</c:v>
                </c:pt>
                <c:pt idx="148">
                  <c:v>260</c:v>
                </c:pt>
                <c:pt idx="149">
                  <c:v>277</c:v>
                </c:pt>
                <c:pt idx="150">
                  <c:v>234</c:v>
                </c:pt>
                <c:pt idx="151">
                  <c:v>260</c:v>
                </c:pt>
                <c:pt idx="152">
                  <c:v>208</c:v>
                </c:pt>
                <c:pt idx="153">
                  <c:v>240</c:v>
                </c:pt>
                <c:pt idx="154">
                  <c:v>190</c:v>
                </c:pt>
                <c:pt idx="155">
                  <c:v>225</c:v>
                </c:pt>
                <c:pt idx="156">
                  <c:v>199</c:v>
                </c:pt>
                <c:pt idx="157">
                  <c:v>320</c:v>
                </c:pt>
                <c:pt idx="158">
                  <c:v>180</c:v>
                </c:pt>
                <c:pt idx="159">
                  <c:v>248</c:v>
                </c:pt>
                <c:pt idx="160">
                  <c:v>245</c:v>
                </c:pt>
                <c:pt idx="161">
                  <c:v>257</c:v>
                </c:pt>
                <c:pt idx="162">
                  <c:v>165</c:v>
                </c:pt>
                <c:pt idx="163">
                  <c:v>260</c:v>
                </c:pt>
                <c:pt idx="164">
                  <c:v>181</c:v>
                </c:pt>
                <c:pt idx="165">
                  <c:v>235</c:v>
                </c:pt>
                <c:pt idx="166">
                  <c:v>190</c:v>
                </c:pt>
                <c:pt idx="167">
                  <c:v>216</c:v>
                </c:pt>
                <c:pt idx="168">
                  <c:v>231</c:v>
                </c:pt>
                <c:pt idx="169">
                  <c:v>177</c:v>
                </c:pt>
                <c:pt idx="170">
                  <c:v>231</c:v>
                </c:pt>
                <c:pt idx="171">
                  <c:v>183</c:v>
                </c:pt>
                <c:pt idx="172">
                  <c:v>234</c:v>
                </c:pt>
                <c:pt idx="173">
                  <c:v>196</c:v>
                </c:pt>
                <c:pt idx="174">
                  <c:v>188</c:v>
                </c:pt>
                <c:pt idx="175">
                  <c:v>275</c:v>
                </c:pt>
                <c:pt idx="176">
                  <c:v>196</c:v>
                </c:pt>
                <c:pt idx="177">
                  <c:v>257</c:v>
                </c:pt>
                <c:pt idx="178">
                  <c:v>260</c:v>
                </c:pt>
                <c:pt idx="179">
                  <c:v>185</c:v>
                </c:pt>
                <c:pt idx="180">
                  <c:v>180</c:v>
                </c:pt>
                <c:pt idx="181">
                  <c:v>255</c:v>
                </c:pt>
                <c:pt idx="182">
                  <c:v>232</c:v>
                </c:pt>
                <c:pt idx="183">
                  <c:v>241</c:v>
                </c:pt>
                <c:pt idx="184">
                  <c:v>187</c:v>
                </c:pt>
                <c:pt idx="185">
                  <c:v>232</c:v>
                </c:pt>
                <c:pt idx="186">
                  <c:v>297</c:v>
                </c:pt>
                <c:pt idx="187">
                  <c:v>235</c:v>
                </c:pt>
                <c:pt idx="188">
                  <c:v>255</c:v>
                </c:pt>
                <c:pt idx="189">
                  <c:v>250</c:v>
                </c:pt>
                <c:pt idx="190">
                  <c:v>275</c:v>
                </c:pt>
                <c:pt idx="191">
                  <c:v>180</c:v>
                </c:pt>
                <c:pt idx="192">
                  <c:v>248</c:v>
                </c:pt>
                <c:pt idx="193">
                  <c:v>179</c:v>
                </c:pt>
                <c:pt idx="194">
                  <c:v>272</c:v>
                </c:pt>
                <c:pt idx="195">
                  <c:v>177</c:v>
                </c:pt>
                <c:pt idx="196">
                  <c:v>254</c:v>
                </c:pt>
                <c:pt idx="197">
                  <c:v>184</c:v>
                </c:pt>
                <c:pt idx="198">
                  <c:v>246</c:v>
                </c:pt>
                <c:pt idx="199">
                  <c:v>172</c:v>
                </c:pt>
                <c:pt idx="200">
                  <c:v>264</c:v>
                </c:pt>
                <c:pt idx="201">
                  <c:v>172</c:v>
                </c:pt>
                <c:pt idx="202">
                  <c:v>251</c:v>
                </c:pt>
                <c:pt idx="203">
                  <c:v>175</c:v>
                </c:pt>
                <c:pt idx="204">
                  <c:v>190</c:v>
                </c:pt>
                <c:pt idx="205">
                  <c:v>190</c:v>
                </c:pt>
                <c:pt idx="206">
                  <c:v>174</c:v>
                </c:pt>
                <c:pt idx="207">
                  <c:v>211</c:v>
                </c:pt>
                <c:pt idx="208">
                  <c:v>162</c:v>
                </c:pt>
                <c:pt idx="209">
                  <c:v>265</c:v>
                </c:pt>
                <c:pt idx="210">
                  <c:v>260</c:v>
                </c:pt>
                <c:pt idx="211">
                  <c:v>250</c:v>
                </c:pt>
                <c:pt idx="212">
                  <c:v>180</c:v>
                </c:pt>
                <c:pt idx="213">
                  <c:v>212</c:v>
                </c:pt>
                <c:pt idx="214">
                  <c:v>170</c:v>
                </c:pt>
                <c:pt idx="215">
                  <c:v>197</c:v>
                </c:pt>
                <c:pt idx="216">
                  <c:v>217</c:v>
                </c:pt>
                <c:pt idx="217">
                  <c:v>204</c:v>
                </c:pt>
                <c:pt idx="218">
                  <c:v>225</c:v>
                </c:pt>
                <c:pt idx="219">
                  <c:v>149</c:v>
                </c:pt>
                <c:pt idx="220">
                  <c:v>273</c:v>
                </c:pt>
                <c:pt idx="221">
                  <c:v>196</c:v>
                </c:pt>
                <c:pt idx="222">
                  <c:v>205</c:v>
                </c:pt>
                <c:pt idx="223">
                  <c:v>225</c:v>
                </c:pt>
                <c:pt idx="224">
                  <c:v>215</c:v>
                </c:pt>
                <c:pt idx="225">
                  <c:v>261</c:v>
                </c:pt>
                <c:pt idx="226">
                  <c:v>193</c:v>
                </c:pt>
                <c:pt idx="227">
                  <c:v>298</c:v>
                </c:pt>
                <c:pt idx="228">
                  <c:v>228</c:v>
                </c:pt>
                <c:pt idx="229">
                  <c:v>303</c:v>
                </c:pt>
                <c:pt idx="230">
                  <c:v>280</c:v>
                </c:pt>
                <c:pt idx="231">
                  <c:v>210</c:v>
                </c:pt>
                <c:pt idx="232">
                  <c:v>227</c:v>
                </c:pt>
                <c:pt idx="233">
                  <c:v>309</c:v>
                </c:pt>
                <c:pt idx="234">
                  <c:v>174</c:v>
                </c:pt>
                <c:pt idx="235">
                  <c:v>150</c:v>
                </c:pt>
                <c:pt idx="236">
                  <c:v>171</c:v>
                </c:pt>
                <c:pt idx="237">
                  <c:v>230</c:v>
                </c:pt>
                <c:pt idx="238">
                  <c:v>165</c:v>
                </c:pt>
                <c:pt idx="239">
                  <c:v>152</c:v>
                </c:pt>
                <c:pt idx="240">
                  <c:v>280</c:v>
                </c:pt>
                <c:pt idx="241">
                  <c:v>284</c:v>
                </c:pt>
                <c:pt idx="242">
                  <c:v>288</c:v>
                </c:pt>
                <c:pt idx="243">
                  <c:v>287</c:v>
                </c:pt>
                <c:pt idx="244">
                  <c:v>257</c:v>
                </c:pt>
                <c:pt idx="245">
                  <c:v>213</c:v>
                </c:pt>
                <c:pt idx="246">
                  <c:v>201</c:v>
                </c:pt>
                <c:pt idx="247">
                  <c:v>195</c:v>
                </c:pt>
                <c:pt idx="248">
                  <c:v>218</c:v>
                </c:pt>
                <c:pt idx="249">
                  <c:v>235</c:v>
                </c:pt>
                <c:pt idx="250">
                  <c:v>230</c:v>
                </c:pt>
                <c:pt idx="251">
                  <c:v>275</c:v>
                </c:pt>
                <c:pt idx="252">
                  <c:v>203</c:v>
                </c:pt>
                <c:pt idx="253">
                  <c:v>250</c:v>
                </c:pt>
                <c:pt idx="254">
                  <c:v>281</c:v>
                </c:pt>
                <c:pt idx="255">
                  <c:v>150</c:v>
                </c:pt>
                <c:pt idx="256">
                  <c:v>155</c:v>
                </c:pt>
                <c:pt idx="257">
                  <c:v>140</c:v>
                </c:pt>
                <c:pt idx="258">
                  <c:v>210</c:v>
                </c:pt>
                <c:pt idx="259">
                  <c:v>223</c:v>
                </c:pt>
                <c:pt idx="260">
                  <c:v>201</c:v>
                </c:pt>
                <c:pt idx="261">
                  <c:v>205</c:v>
                </c:pt>
                <c:pt idx="262">
                  <c:v>208</c:v>
                </c:pt>
                <c:pt idx="263">
                  <c:v>284</c:v>
                </c:pt>
                <c:pt idx="264">
                  <c:v>280</c:v>
                </c:pt>
                <c:pt idx="265">
                  <c:v>176</c:v>
                </c:pt>
                <c:pt idx="266">
                  <c:v>165</c:v>
                </c:pt>
                <c:pt idx="267">
                  <c:v>258</c:v>
                </c:pt>
                <c:pt idx="268">
                  <c:v>169</c:v>
                </c:pt>
                <c:pt idx="269">
                  <c:v>192</c:v>
                </c:pt>
                <c:pt idx="270">
                  <c:v>206</c:v>
                </c:pt>
                <c:pt idx="271">
                  <c:v>223</c:v>
                </c:pt>
                <c:pt idx="272">
                  <c:v>198</c:v>
                </c:pt>
                <c:pt idx="273">
                  <c:v>218</c:v>
                </c:pt>
                <c:pt idx="274">
                  <c:v>197</c:v>
                </c:pt>
                <c:pt idx="275">
                  <c:v>237</c:v>
                </c:pt>
                <c:pt idx="276">
                  <c:v>315</c:v>
                </c:pt>
                <c:pt idx="277">
                  <c:v>310</c:v>
                </c:pt>
                <c:pt idx="278">
                  <c:v>305</c:v>
                </c:pt>
                <c:pt idx="279">
                  <c:v>278</c:v>
                </c:pt>
                <c:pt idx="280">
                  <c:v>280</c:v>
                </c:pt>
                <c:pt idx="281">
                  <c:v>301</c:v>
                </c:pt>
                <c:pt idx="282">
                  <c:v>247</c:v>
                </c:pt>
                <c:pt idx="283">
                  <c:v>294</c:v>
                </c:pt>
                <c:pt idx="284">
                  <c:v>264</c:v>
                </c:pt>
                <c:pt idx="285">
                  <c:v>230</c:v>
                </c:pt>
                <c:pt idx="286">
                  <c:v>241</c:v>
                </c:pt>
                <c:pt idx="287">
                  <c:v>301</c:v>
                </c:pt>
                <c:pt idx="288">
                  <c:v>281</c:v>
                </c:pt>
                <c:pt idx="289">
                  <c:v>276</c:v>
                </c:pt>
                <c:pt idx="290">
                  <c:v>285</c:v>
                </c:pt>
                <c:pt idx="291">
                  <c:v>274</c:v>
                </c:pt>
                <c:pt idx="292">
                  <c:v>240</c:v>
                </c:pt>
                <c:pt idx="293">
                  <c:v>265</c:v>
                </c:pt>
                <c:pt idx="294">
                  <c:v>283</c:v>
                </c:pt>
                <c:pt idx="295">
                  <c:v>277</c:v>
                </c:pt>
                <c:pt idx="296">
                  <c:v>235</c:v>
                </c:pt>
                <c:pt idx="297">
                  <c:v>272</c:v>
                </c:pt>
                <c:pt idx="298">
                  <c:v>157</c:v>
                </c:pt>
                <c:pt idx="299">
                  <c:v>136</c:v>
                </c:pt>
                <c:pt idx="300">
                  <c:v>202</c:v>
                </c:pt>
                <c:pt idx="301">
                  <c:v>160</c:v>
                </c:pt>
                <c:pt idx="302">
                  <c:v>223</c:v>
                </c:pt>
                <c:pt idx="303">
                  <c:v>195</c:v>
                </c:pt>
                <c:pt idx="304">
                  <c:v>177</c:v>
                </c:pt>
                <c:pt idx="305">
                  <c:v>202</c:v>
                </c:pt>
                <c:pt idx="306">
                  <c:v>204</c:v>
                </c:pt>
                <c:pt idx="307">
                  <c:v>170</c:v>
                </c:pt>
                <c:pt idx="308">
                  <c:v>221</c:v>
                </c:pt>
                <c:pt idx="309">
                  <c:v>243</c:v>
                </c:pt>
                <c:pt idx="310">
                  <c:v>180</c:v>
                </c:pt>
                <c:pt idx="311">
                  <c:v>202</c:v>
                </c:pt>
                <c:pt idx="312">
                  <c:v>213</c:v>
                </c:pt>
                <c:pt idx="313">
                  <c:v>189</c:v>
                </c:pt>
                <c:pt idx="314">
                  <c:v>188</c:v>
                </c:pt>
                <c:pt idx="315">
                  <c:v>177</c:v>
                </c:pt>
                <c:pt idx="316">
                  <c:v>175</c:v>
                </c:pt>
                <c:pt idx="317">
                  <c:v>201</c:v>
                </c:pt>
                <c:pt idx="318">
                  <c:v>261</c:v>
                </c:pt>
                <c:pt idx="319">
                  <c:v>197</c:v>
                </c:pt>
                <c:pt idx="320">
                  <c:v>180</c:v>
                </c:pt>
                <c:pt idx="321">
                  <c:v>185</c:v>
                </c:pt>
                <c:pt idx="322">
                  <c:v>210</c:v>
                </c:pt>
                <c:pt idx="323">
                  <c:v>293</c:v>
                </c:pt>
                <c:pt idx="324">
                  <c:v>209</c:v>
                </c:pt>
                <c:pt idx="325">
                  <c:v>193</c:v>
                </c:pt>
                <c:pt idx="326">
                  <c:v>207</c:v>
                </c:pt>
                <c:pt idx="327">
                  <c:v>199</c:v>
                </c:pt>
                <c:pt idx="328">
                  <c:v>200</c:v>
                </c:pt>
                <c:pt idx="329">
                  <c:v>172</c:v>
                </c:pt>
                <c:pt idx="330">
                  <c:v>308</c:v>
                </c:pt>
                <c:pt idx="331">
                  <c:v>292</c:v>
                </c:pt>
                <c:pt idx="332">
                  <c:v>310</c:v>
                </c:pt>
                <c:pt idx="333">
                  <c:v>260</c:v>
                </c:pt>
                <c:pt idx="334">
                  <c:v>286</c:v>
                </c:pt>
                <c:pt idx="335">
                  <c:v>215</c:v>
                </c:pt>
                <c:pt idx="336">
                  <c:v>234</c:v>
                </c:pt>
                <c:pt idx="337">
                  <c:v>232</c:v>
                </c:pt>
                <c:pt idx="338">
                  <c:v>226</c:v>
                </c:pt>
                <c:pt idx="339">
                  <c:v>202</c:v>
                </c:pt>
                <c:pt idx="340">
                  <c:v>210</c:v>
                </c:pt>
                <c:pt idx="341">
                  <c:v>241</c:v>
                </c:pt>
                <c:pt idx="342">
                  <c:v>173</c:v>
                </c:pt>
                <c:pt idx="343">
                  <c:v>265</c:v>
                </c:pt>
                <c:pt idx="344">
                  <c:v>220</c:v>
                </c:pt>
                <c:pt idx="345">
                  <c:v>212</c:v>
                </c:pt>
                <c:pt idx="346">
                  <c:v>207</c:v>
                </c:pt>
                <c:pt idx="347">
                  <c:v>170</c:v>
                </c:pt>
                <c:pt idx="348">
                  <c:v>221</c:v>
                </c:pt>
                <c:pt idx="349">
                  <c:v>213</c:v>
                </c:pt>
                <c:pt idx="350">
                  <c:v>198</c:v>
                </c:pt>
                <c:pt idx="351">
                  <c:v>182</c:v>
                </c:pt>
                <c:pt idx="352">
                  <c:v>196</c:v>
                </c:pt>
                <c:pt idx="353">
                  <c:v>210</c:v>
                </c:pt>
                <c:pt idx="354">
                  <c:v>197</c:v>
                </c:pt>
                <c:pt idx="355">
                  <c:v>205</c:v>
                </c:pt>
                <c:pt idx="356">
                  <c:v>188</c:v>
                </c:pt>
                <c:pt idx="357">
                  <c:v>191</c:v>
                </c:pt>
                <c:pt idx="358">
                  <c:v>166</c:v>
                </c:pt>
                <c:pt idx="359">
                  <c:v>184</c:v>
                </c:pt>
                <c:pt idx="360">
                  <c:v>185</c:v>
                </c:pt>
                <c:pt idx="361">
                  <c:v>181</c:v>
                </c:pt>
                <c:pt idx="362">
                  <c:v>246</c:v>
                </c:pt>
                <c:pt idx="363">
                  <c:v>241</c:v>
                </c:pt>
                <c:pt idx="364">
                  <c:v>227</c:v>
                </c:pt>
                <c:pt idx="365">
                  <c:v>240</c:v>
                </c:pt>
                <c:pt idx="366">
                  <c:v>255</c:v>
                </c:pt>
                <c:pt idx="367">
                  <c:v>246</c:v>
                </c:pt>
                <c:pt idx="368">
                  <c:v>251</c:v>
                </c:pt>
                <c:pt idx="369">
                  <c:v>247</c:v>
                </c:pt>
                <c:pt idx="370">
                  <c:v>211</c:v>
                </c:pt>
                <c:pt idx="371">
                  <c:v>218</c:v>
                </c:pt>
                <c:pt idx="372">
                  <c:v>210</c:v>
                </c:pt>
                <c:pt idx="373">
                  <c:v>309</c:v>
                </c:pt>
                <c:pt idx="374">
                  <c:v>189</c:v>
                </c:pt>
                <c:pt idx="375">
                  <c:v>176</c:v>
                </c:pt>
                <c:pt idx="376">
                  <c:v>180</c:v>
                </c:pt>
                <c:pt idx="377">
                  <c:v>298</c:v>
                </c:pt>
                <c:pt idx="378">
                  <c:v>199</c:v>
                </c:pt>
                <c:pt idx="379">
                  <c:v>145</c:v>
                </c:pt>
                <c:pt idx="380">
                  <c:v>244</c:v>
                </c:pt>
                <c:pt idx="381">
                  <c:v>224</c:v>
                </c:pt>
                <c:pt idx="382">
                  <c:v>323</c:v>
                </c:pt>
                <c:pt idx="383">
                  <c:v>283</c:v>
                </c:pt>
                <c:pt idx="384">
                  <c:v>253</c:v>
                </c:pt>
                <c:pt idx="385">
                  <c:v>174</c:v>
                </c:pt>
                <c:pt idx="386">
                  <c:v>182</c:v>
                </c:pt>
                <c:pt idx="387">
                  <c:v>199</c:v>
                </c:pt>
                <c:pt idx="388">
                  <c:v>205</c:v>
                </c:pt>
                <c:pt idx="389">
                  <c:v>181</c:v>
                </c:pt>
                <c:pt idx="390">
                  <c:v>240</c:v>
                </c:pt>
                <c:pt idx="391">
                  <c:v>291</c:v>
                </c:pt>
                <c:pt idx="392">
                  <c:v>218</c:v>
                </c:pt>
                <c:pt idx="393">
                  <c:v>241</c:v>
                </c:pt>
                <c:pt idx="394">
                  <c:v>225</c:v>
                </c:pt>
                <c:pt idx="395">
                  <c:v>199</c:v>
                </c:pt>
                <c:pt idx="396">
                  <c:v>256</c:v>
                </c:pt>
                <c:pt idx="397">
                  <c:v>213</c:v>
                </c:pt>
                <c:pt idx="398">
                  <c:v>175</c:v>
                </c:pt>
                <c:pt idx="399">
                  <c:v>221</c:v>
                </c:pt>
                <c:pt idx="400">
                  <c:v>186</c:v>
                </c:pt>
                <c:pt idx="401">
                  <c:v>196</c:v>
                </c:pt>
                <c:pt idx="402">
                  <c:v>221</c:v>
                </c:pt>
                <c:pt idx="403">
                  <c:v>241</c:v>
                </c:pt>
                <c:pt idx="404">
                  <c:v>278</c:v>
                </c:pt>
                <c:pt idx="405">
                  <c:v>199</c:v>
                </c:pt>
                <c:pt idx="406">
                  <c:v>225</c:v>
                </c:pt>
                <c:pt idx="407">
                  <c:v>301</c:v>
                </c:pt>
                <c:pt idx="408">
                  <c:v>281</c:v>
                </c:pt>
                <c:pt idx="409">
                  <c:v>329</c:v>
                </c:pt>
                <c:pt idx="410">
                  <c:v>207</c:v>
                </c:pt>
                <c:pt idx="411">
                  <c:v>255</c:v>
                </c:pt>
                <c:pt idx="412">
                  <c:v>270</c:v>
                </c:pt>
                <c:pt idx="413">
                  <c:v>221</c:v>
                </c:pt>
                <c:pt idx="414">
                  <c:v>236</c:v>
                </c:pt>
                <c:pt idx="415">
                  <c:v>263</c:v>
                </c:pt>
                <c:pt idx="416">
                  <c:v>256</c:v>
                </c:pt>
                <c:pt idx="417">
                  <c:v>224</c:v>
                </c:pt>
                <c:pt idx="418">
                  <c:v>232</c:v>
                </c:pt>
                <c:pt idx="419">
                  <c:v>258</c:v>
                </c:pt>
                <c:pt idx="420">
                  <c:v>241</c:v>
                </c:pt>
                <c:pt idx="421">
                  <c:v>251</c:v>
                </c:pt>
                <c:pt idx="422">
                  <c:v>225</c:v>
                </c:pt>
                <c:pt idx="423">
                  <c:v>226</c:v>
                </c:pt>
                <c:pt idx="424">
                  <c:v>239</c:v>
                </c:pt>
                <c:pt idx="425">
                  <c:v>245</c:v>
                </c:pt>
                <c:pt idx="426">
                  <c:v>291</c:v>
                </c:pt>
                <c:pt idx="427">
                  <c:v>340</c:v>
                </c:pt>
                <c:pt idx="428">
                  <c:v>348</c:v>
                </c:pt>
                <c:pt idx="429">
                  <c:v>257</c:v>
                </c:pt>
                <c:pt idx="430">
                  <c:v>241</c:v>
                </c:pt>
                <c:pt idx="431">
                  <c:v>253</c:v>
                </c:pt>
                <c:pt idx="432">
                  <c:v>283</c:v>
                </c:pt>
                <c:pt idx="433">
                  <c:v>222</c:v>
                </c:pt>
                <c:pt idx="434">
                  <c:v>273</c:v>
                </c:pt>
                <c:pt idx="435">
                  <c:v>322</c:v>
                </c:pt>
                <c:pt idx="436">
                  <c:v>284</c:v>
                </c:pt>
                <c:pt idx="437">
                  <c:v>307</c:v>
                </c:pt>
                <c:pt idx="438">
                  <c:v>263</c:v>
                </c:pt>
                <c:pt idx="439">
                  <c:v>296</c:v>
                </c:pt>
                <c:pt idx="440">
                  <c:v>330</c:v>
                </c:pt>
                <c:pt idx="441">
                  <c:v>247</c:v>
                </c:pt>
                <c:pt idx="442">
                  <c:v>239</c:v>
                </c:pt>
                <c:pt idx="443">
                  <c:v>229</c:v>
                </c:pt>
                <c:pt idx="444">
                  <c:v>235</c:v>
                </c:pt>
                <c:pt idx="445">
                  <c:v>243</c:v>
                </c:pt>
                <c:pt idx="446">
                  <c:v>252</c:v>
                </c:pt>
                <c:pt idx="447">
                  <c:v>251</c:v>
                </c:pt>
                <c:pt idx="448">
                  <c:v>243</c:v>
                </c:pt>
                <c:pt idx="449">
                  <c:v>249</c:v>
                </c:pt>
                <c:pt idx="450">
                  <c:v>232</c:v>
                </c:pt>
                <c:pt idx="451">
                  <c:v>251</c:v>
                </c:pt>
                <c:pt idx="452">
                  <c:v>264</c:v>
                </c:pt>
                <c:pt idx="453">
                  <c:v>264</c:v>
                </c:pt>
                <c:pt idx="454">
                  <c:v>269</c:v>
                </c:pt>
                <c:pt idx="455">
                  <c:v>255</c:v>
                </c:pt>
                <c:pt idx="456">
                  <c:v>262</c:v>
                </c:pt>
                <c:pt idx="457">
                  <c:v>251</c:v>
                </c:pt>
                <c:pt idx="458">
                  <c:v>239</c:v>
                </c:pt>
                <c:pt idx="459">
                  <c:v>318</c:v>
                </c:pt>
                <c:pt idx="460">
                  <c:v>255</c:v>
                </c:pt>
                <c:pt idx="461">
                  <c:v>242</c:v>
                </c:pt>
                <c:pt idx="462">
                  <c:v>234</c:v>
                </c:pt>
                <c:pt idx="463">
                  <c:v>272</c:v>
                </c:pt>
                <c:pt idx="464">
                  <c:v>307</c:v>
                </c:pt>
                <c:pt idx="465">
                  <c:v>295</c:v>
                </c:pt>
                <c:pt idx="466">
                  <c:v>281</c:v>
                </c:pt>
                <c:pt idx="467">
                  <c:v>251</c:v>
                </c:pt>
                <c:pt idx="468">
                  <c:v>262</c:v>
                </c:pt>
                <c:pt idx="469">
                  <c:v>270</c:v>
                </c:pt>
                <c:pt idx="470">
                  <c:v>285</c:v>
                </c:pt>
                <c:pt idx="471">
                  <c:v>262</c:v>
                </c:pt>
                <c:pt idx="472">
                  <c:v>270</c:v>
                </c:pt>
                <c:pt idx="473">
                  <c:v>276</c:v>
                </c:pt>
                <c:pt idx="474">
                  <c:v>326</c:v>
                </c:pt>
                <c:pt idx="475">
                  <c:v>245</c:v>
                </c:pt>
                <c:pt idx="476">
                  <c:v>291</c:v>
                </c:pt>
                <c:pt idx="477">
                  <c:v>258</c:v>
                </c:pt>
                <c:pt idx="478">
                  <c:v>313</c:v>
                </c:pt>
                <c:pt idx="479">
                  <c:v>278</c:v>
                </c:pt>
                <c:pt idx="480">
                  <c:v>273</c:v>
                </c:pt>
                <c:pt idx="481">
                  <c:v>399</c:v>
                </c:pt>
                <c:pt idx="482">
                  <c:v>260</c:v>
                </c:pt>
                <c:pt idx="483">
                  <c:v>365</c:v>
                </c:pt>
                <c:pt idx="484">
                  <c:v>273</c:v>
                </c:pt>
                <c:pt idx="485">
                  <c:v>275</c:v>
                </c:pt>
                <c:pt idx="486">
                  <c:v>265</c:v>
                </c:pt>
                <c:pt idx="487">
                  <c:v>338</c:v>
                </c:pt>
                <c:pt idx="488">
                  <c:v>372</c:v>
                </c:pt>
                <c:pt idx="489">
                  <c:v>334</c:v>
                </c:pt>
                <c:pt idx="490">
                  <c:v>286</c:v>
                </c:pt>
                <c:pt idx="491">
                  <c:v>225</c:v>
                </c:pt>
                <c:pt idx="492">
                  <c:v>275</c:v>
                </c:pt>
                <c:pt idx="493">
                  <c:v>259</c:v>
                </c:pt>
                <c:pt idx="494">
                  <c:v>261</c:v>
                </c:pt>
                <c:pt idx="495">
                  <c:v>283</c:v>
                </c:pt>
                <c:pt idx="496">
                  <c:v>302</c:v>
                </c:pt>
                <c:pt idx="497">
                  <c:v>335</c:v>
                </c:pt>
                <c:pt idx="498">
                  <c:v>353</c:v>
                </c:pt>
                <c:pt idx="499">
                  <c:v>302</c:v>
                </c:pt>
                <c:pt idx="500">
                  <c:v>410</c:v>
                </c:pt>
                <c:pt idx="501">
                  <c:v>357</c:v>
                </c:pt>
                <c:pt idx="502">
                  <c:v>266</c:v>
                </c:pt>
                <c:pt idx="503">
                  <c:v>252</c:v>
                </c:pt>
                <c:pt idx="504">
                  <c:v>316</c:v>
                </c:pt>
                <c:pt idx="505">
                  <c:v>284</c:v>
                </c:pt>
                <c:pt idx="506">
                  <c:v>230</c:v>
                </c:pt>
                <c:pt idx="507">
                  <c:v>271</c:v>
                </c:pt>
                <c:pt idx="508">
                  <c:v>351</c:v>
                </c:pt>
                <c:pt idx="509">
                  <c:v>334</c:v>
                </c:pt>
                <c:pt idx="510">
                  <c:v>315</c:v>
                </c:pt>
                <c:pt idx="511">
                  <c:v>220</c:v>
                </c:pt>
                <c:pt idx="512">
                  <c:v>261</c:v>
                </c:pt>
                <c:pt idx="513">
                  <c:v>265</c:v>
                </c:pt>
                <c:pt idx="514">
                  <c:v>210</c:v>
                </c:pt>
                <c:pt idx="515">
                  <c:v>220</c:v>
                </c:pt>
                <c:pt idx="516">
                  <c:v>228</c:v>
                </c:pt>
                <c:pt idx="517">
                  <c:v>225</c:v>
                </c:pt>
                <c:pt idx="518">
                  <c:v>249</c:v>
                </c:pt>
                <c:pt idx="519">
                  <c:v>264</c:v>
                </c:pt>
                <c:pt idx="520">
                  <c:v>243</c:v>
                </c:pt>
                <c:pt idx="521">
                  <c:v>246</c:v>
                </c:pt>
                <c:pt idx="522">
                  <c:v>235</c:v>
                </c:pt>
                <c:pt idx="523">
                  <c:v>252</c:v>
                </c:pt>
                <c:pt idx="524">
                  <c:v>231</c:v>
                </c:pt>
                <c:pt idx="525">
                  <c:v>188</c:v>
                </c:pt>
                <c:pt idx="526">
                  <c:v>203</c:v>
                </c:pt>
                <c:pt idx="527">
                  <c:v>180</c:v>
                </c:pt>
                <c:pt idx="528">
                  <c:v>209</c:v>
                </c:pt>
                <c:pt idx="529">
                  <c:v>201</c:v>
                </c:pt>
                <c:pt idx="530">
                  <c:v>303</c:v>
                </c:pt>
                <c:pt idx="531">
                  <c:v>269</c:v>
                </c:pt>
                <c:pt idx="532">
                  <c:v>225</c:v>
                </c:pt>
                <c:pt idx="533">
                  <c:v>254</c:v>
                </c:pt>
                <c:pt idx="534">
                  <c:v>222</c:v>
                </c:pt>
                <c:pt idx="535">
                  <c:v>240</c:v>
                </c:pt>
                <c:pt idx="536">
                  <c:v>289</c:v>
                </c:pt>
                <c:pt idx="537">
                  <c:v>287</c:v>
                </c:pt>
                <c:pt idx="538">
                  <c:v>226</c:v>
                </c:pt>
                <c:pt idx="539">
                  <c:v>284</c:v>
                </c:pt>
                <c:pt idx="540">
                  <c:v>293</c:v>
                </c:pt>
                <c:pt idx="541">
                  <c:v>250</c:v>
                </c:pt>
                <c:pt idx="542">
                  <c:v>255</c:v>
                </c:pt>
                <c:pt idx="543">
                  <c:v>244</c:v>
                </c:pt>
                <c:pt idx="544">
                  <c:v>230</c:v>
                </c:pt>
                <c:pt idx="545">
                  <c:v>233</c:v>
                </c:pt>
                <c:pt idx="546">
                  <c:v>252</c:v>
                </c:pt>
                <c:pt idx="547">
                  <c:v>311</c:v>
                </c:pt>
                <c:pt idx="548">
                  <c:v>186</c:v>
                </c:pt>
                <c:pt idx="549">
                  <c:v>212</c:v>
                </c:pt>
                <c:pt idx="550">
                  <c:v>211</c:v>
                </c:pt>
                <c:pt idx="551">
                  <c:v>341</c:v>
                </c:pt>
                <c:pt idx="552">
                  <c:v>350</c:v>
                </c:pt>
                <c:pt idx="553">
                  <c:v>190</c:v>
                </c:pt>
                <c:pt idx="554">
                  <c:v>347</c:v>
                </c:pt>
                <c:pt idx="555">
                  <c:v>351</c:v>
                </c:pt>
                <c:pt idx="556">
                  <c:v>330</c:v>
                </c:pt>
                <c:pt idx="557">
                  <c:v>224</c:v>
                </c:pt>
                <c:pt idx="558">
                  <c:v>240</c:v>
                </c:pt>
                <c:pt idx="559">
                  <c:v>233</c:v>
                </c:pt>
                <c:pt idx="560">
                  <c:v>263</c:v>
                </c:pt>
                <c:pt idx="561">
                  <c:v>245</c:v>
                </c:pt>
                <c:pt idx="562">
                  <c:v>207</c:v>
                </c:pt>
                <c:pt idx="563">
                  <c:v>196</c:v>
                </c:pt>
                <c:pt idx="564">
                  <c:v>177</c:v>
                </c:pt>
                <c:pt idx="565">
                  <c:v>197</c:v>
                </c:pt>
                <c:pt idx="566">
                  <c:v>224</c:v>
                </c:pt>
                <c:pt idx="567">
                  <c:v>221</c:v>
                </c:pt>
                <c:pt idx="568">
                  <c:v>191</c:v>
                </c:pt>
                <c:pt idx="569">
                  <c:v>235</c:v>
                </c:pt>
                <c:pt idx="570">
                  <c:v>169</c:v>
                </c:pt>
                <c:pt idx="571">
                  <c:v>350</c:v>
                </c:pt>
                <c:pt idx="572">
                  <c:v>227</c:v>
                </c:pt>
                <c:pt idx="573">
                  <c:v>240</c:v>
                </c:pt>
                <c:pt idx="574">
                  <c:v>203</c:v>
                </c:pt>
                <c:pt idx="575">
                  <c:v>215</c:v>
                </c:pt>
                <c:pt idx="576">
                  <c:v>346</c:v>
                </c:pt>
                <c:pt idx="577">
                  <c:v>181</c:v>
                </c:pt>
                <c:pt idx="578">
                  <c:v>207</c:v>
                </c:pt>
                <c:pt idx="579">
                  <c:v>287</c:v>
                </c:pt>
                <c:pt idx="580">
                  <c:v>215</c:v>
                </c:pt>
                <c:pt idx="581">
                  <c:v>226</c:v>
                </c:pt>
              </c:numCache>
            </c:numRef>
          </c:xVal>
          <c:yVal>
            <c:numRef>
              <c:f>P.blochii!$G$2:$G$583</c:f>
              <c:numCache>
                <c:formatCode>0</c:formatCode>
                <c:ptCount val="582"/>
                <c:pt idx="0">
                  <c:v>183.9</c:v>
                </c:pt>
                <c:pt idx="1">
                  <c:v>186.8</c:v>
                </c:pt>
                <c:pt idx="2">
                  <c:v>173</c:v>
                </c:pt>
                <c:pt idx="3">
                  <c:v>320</c:v>
                </c:pt>
                <c:pt idx="4">
                  <c:v>387</c:v>
                </c:pt>
                <c:pt idx="5">
                  <c:v>203.6</c:v>
                </c:pt>
                <c:pt idx="6">
                  <c:v>327.39999999999998</c:v>
                </c:pt>
                <c:pt idx="7">
                  <c:v>183.4</c:v>
                </c:pt>
                <c:pt idx="8">
                  <c:v>293</c:v>
                </c:pt>
                <c:pt idx="9">
                  <c:v>187</c:v>
                </c:pt>
                <c:pt idx="10">
                  <c:v>556.4</c:v>
                </c:pt>
                <c:pt idx="11">
                  <c:v>309.10000000000002</c:v>
                </c:pt>
                <c:pt idx="12">
                  <c:v>257</c:v>
                </c:pt>
                <c:pt idx="13">
                  <c:v>217</c:v>
                </c:pt>
                <c:pt idx="14">
                  <c:v>219</c:v>
                </c:pt>
                <c:pt idx="15">
                  <c:v>218</c:v>
                </c:pt>
                <c:pt idx="16">
                  <c:v>286</c:v>
                </c:pt>
                <c:pt idx="17">
                  <c:v>284</c:v>
                </c:pt>
                <c:pt idx="18">
                  <c:v>348</c:v>
                </c:pt>
                <c:pt idx="19">
                  <c:v>408</c:v>
                </c:pt>
                <c:pt idx="20">
                  <c:v>320</c:v>
                </c:pt>
                <c:pt idx="21">
                  <c:v>182</c:v>
                </c:pt>
                <c:pt idx="22">
                  <c:v>198</c:v>
                </c:pt>
                <c:pt idx="23">
                  <c:v>202</c:v>
                </c:pt>
                <c:pt idx="24">
                  <c:v>223</c:v>
                </c:pt>
                <c:pt idx="25">
                  <c:v>226</c:v>
                </c:pt>
                <c:pt idx="26">
                  <c:v>186</c:v>
                </c:pt>
                <c:pt idx="27">
                  <c:v>123.6</c:v>
                </c:pt>
                <c:pt idx="28">
                  <c:v>306</c:v>
                </c:pt>
                <c:pt idx="29">
                  <c:v>245</c:v>
                </c:pt>
                <c:pt idx="30">
                  <c:v>273</c:v>
                </c:pt>
                <c:pt idx="31">
                  <c:v>230</c:v>
                </c:pt>
                <c:pt idx="32">
                  <c:v>175.7</c:v>
                </c:pt>
                <c:pt idx="33">
                  <c:v>208.9</c:v>
                </c:pt>
                <c:pt idx="34">
                  <c:v>245.2</c:v>
                </c:pt>
                <c:pt idx="35">
                  <c:v>200</c:v>
                </c:pt>
                <c:pt idx="36">
                  <c:v>245</c:v>
                </c:pt>
                <c:pt idx="37">
                  <c:v>211</c:v>
                </c:pt>
                <c:pt idx="38">
                  <c:v>178</c:v>
                </c:pt>
                <c:pt idx="39">
                  <c:v>216.2</c:v>
                </c:pt>
                <c:pt idx="40">
                  <c:v>221</c:v>
                </c:pt>
                <c:pt idx="41">
                  <c:v>217</c:v>
                </c:pt>
                <c:pt idx="42">
                  <c:v>187</c:v>
                </c:pt>
                <c:pt idx="43">
                  <c:v>209.6</c:v>
                </c:pt>
                <c:pt idx="44">
                  <c:v>227.1</c:v>
                </c:pt>
                <c:pt idx="45">
                  <c:v>287.2</c:v>
                </c:pt>
                <c:pt idx="46">
                  <c:v>103.2</c:v>
                </c:pt>
                <c:pt idx="47">
                  <c:v>257.89999999999998</c:v>
                </c:pt>
                <c:pt idx="48">
                  <c:v>429.5</c:v>
                </c:pt>
                <c:pt idx="49">
                  <c:v>247.1</c:v>
                </c:pt>
                <c:pt idx="50">
                  <c:v>227</c:v>
                </c:pt>
                <c:pt idx="51">
                  <c:v>200.6</c:v>
                </c:pt>
                <c:pt idx="52">
                  <c:v>363.8</c:v>
                </c:pt>
                <c:pt idx="53">
                  <c:v>407.8</c:v>
                </c:pt>
                <c:pt idx="54">
                  <c:v>267</c:v>
                </c:pt>
                <c:pt idx="55">
                  <c:v>250.4</c:v>
                </c:pt>
                <c:pt idx="56">
                  <c:v>190.1</c:v>
                </c:pt>
                <c:pt idx="57">
                  <c:v>188.4</c:v>
                </c:pt>
                <c:pt idx="58">
                  <c:v>225.4</c:v>
                </c:pt>
                <c:pt idx="59">
                  <c:v>150.19999999999999</c:v>
                </c:pt>
                <c:pt idx="60">
                  <c:v>401.5</c:v>
                </c:pt>
                <c:pt idx="61">
                  <c:v>255</c:v>
                </c:pt>
                <c:pt idx="62">
                  <c:v>502.4</c:v>
                </c:pt>
                <c:pt idx="63">
                  <c:v>190.9</c:v>
                </c:pt>
                <c:pt idx="64">
                  <c:v>234</c:v>
                </c:pt>
                <c:pt idx="65">
                  <c:v>248.9</c:v>
                </c:pt>
                <c:pt idx="66">
                  <c:v>339</c:v>
                </c:pt>
                <c:pt idx="67">
                  <c:v>239</c:v>
                </c:pt>
                <c:pt idx="68">
                  <c:v>196</c:v>
                </c:pt>
                <c:pt idx="69">
                  <c:v>394</c:v>
                </c:pt>
                <c:pt idx="70">
                  <c:v>287</c:v>
                </c:pt>
                <c:pt idx="71">
                  <c:v>270.89999999999998</c:v>
                </c:pt>
                <c:pt idx="72">
                  <c:v>319</c:v>
                </c:pt>
                <c:pt idx="73">
                  <c:v>312</c:v>
                </c:pt>
                <c:pt idx="74">
                  <c:v>333.8</c:v>
                </c:pt>
                <c:pt idx="75">
                  <c:v>410.4</c:v>
                </c:pt>
                <c:pt idx="76">
                  <c:v>311</c:v>
                </c:pt>
                <c:pt idx="77">
                  <c:v>367</c:v>
                </c:pt>
                <c:pt idx="78">
                  <c:v>334</c:v>
                </c:pt>
                <c:pt idx="79">
                  <c:v>284</c:v>
                </c:pt>
                <c:pt idx="80">
                  <c:v>211</c:v>
                </c:pt>
                <c:pt idx="81">
                  <c:v>489</c:v>
                </c:pt>
                <c:pt idx="82">
                  <c:v>284.10000000000002</c:v>
                </c:pt>
                <c:pt idx="83">
                  <c:v>246.7</c:v>
                </c:pt>
                <c:pt idx="84">
                  <c:v>352</c:v>
                </c:pt>
                <c:pt idx="85">
                  <c:v>313</c:v>
                </c:pt>
                <c:pt idx="86">
                  <c:v>279.5</c:v>
                </c:pt>
                <c:pt idx="87">
                  <c:v>393.4</c:v>
                </c:pt>
                <c:pt idx="88">
                  <c:v>227.8</c:v>
                </c:pt>
                <c:pt idx="89">
                  <c:v>360.9</c:v>
                </c:pt>
                <c:pt idx="90">
                  <c:v>284.89999999999998</c:v>
                </c:pt>
                <c:pt idx="91">
                  <c:v>415.8</c:v>
                </c:pt>
                <c:pt idx="92">
                  <c:v>346.6</c:v>
                </c:pt>
                <c:pt idx="93">
                  <c:v>407.2</c:v>
                </c:pt>
                <c:pt idx="94">
                  <c:v>236</c:v>
                </c:pt>
                <c:pt idx="95">
                  <c:v>301.10000000000002</c:v>
                </c:pt>
                <c:pt idx="96">
                  <c:v>310.39999999999998</c:v>
                </c:pt>
                <c:pt idx="97">
                  <c:v>444.5</c:v>
                </c:pt>
                <c:pt idx="98">
                  <c:v>288.8</c:v>
                </c:pt>
                <c:pt idx="99">
                  <c:v>239.9</c:v>
                </c:pt>
                <c:pt idx="100">
                  <c:v>243.7</c:v>
                </c:pt>
                <c:pt idx="101">
                  <c:v>173</c:v>
                </c:pt>
                <c:pt idx="102">
                  <c:v>366.2</c:v>
                </c:pt>
                <c:pt idx="103">
                  <c:v>515.5</c:v>
                </c:pt>
                <c:pt idx="104">
                  <c:v>350.7</c:v>
                </c:pt>
                <c:pt idx="105">
                  <c:v>304.2</c:v>
                </c:pt>
                <c:pt idx="106">
                  <c:v>334.4</c:v>
                </c:pt>
                <c:pt idx="107">
                  <c:v>1234.5</c:v>
                </c:pt>
                <c:pt idx="108">
                  <c:v>268</c:v>
                </c:pt>
                <c:pt idx="109">
                  <c:v>279.89999999999998</c:v>
                </c:pt>
                <c:pt idx="110">
                  <c:v>314.7</c:v>
                </c:pt>
                <c:pt idx="111">
                  <c:v>292.10000000000002</c:v>
                </c:pt>
                <c:pt idx="112">
                  <c:v>430</c:v>
                </c:pt>
                <c:pt idx="113">
                  <c:v>259.8</c:v>
                </c:pt>
                <c:pt idx="114">
                  <c:v>194</c:v>
                </c:pt>
                <c:pt idx="115">
                  <c:v>287.60000000000002</c:v>
                </c:pt>
                <c:pt idx="116">
                  <c:v>238.6</c:v>
                </c:pt>
                <c:pt idx="117">
                  <c:v>245</c:v>
                </c:pt>
                <c:pt idx="118">
                  <c:v>120</c:v>
                </c:pt>
                <c:pt idx="119">
                  <c:v>292.3</c:v>
                </c:pt>
                <c:pt idx="120">
                  <c:v>264.60000000000002</c:v>
                </c:pt>
                <c:pt idx="121">
                  <c:v>351</c:v>
                </c:pt>
                <c:pt idx="122">
                  <c:v>350.5</c:v>
                </c:pt>
                <c:pt idx="123">
                  <c:v>261.60000000000002</c:v>
                </c:pt>
                <c:pt idx="124">
                  <c:v>384.5</c:v>
                </c:pt>
                <c:pt idx="125">
                  <c:v>193.5</c:v>
                </c:pt>
                <c:pt idx="126">
                  <c:v>769.5</c:v>
                </c:pt>
                <c:pt idx="127">
                  <c:v>336</c:v>
                </c:pt>
                <c:pt idx="128">
                  <c:v>127</c:v>
                </c:pt>
                <c:pt idx="129">
                  <c:v>371</c:v>
                </c:pt>
                <c:pt idx="130">
                  <c:v>100.08</c:v>
                </c:pt>
                <c:pt idx="131">
                  <c:v>294.10000000000002</c:v>
                </c:pt>
                <c:pt idx="132">
                  <c:v>129.19999999999999</c:v>
                </c:pt>
                <c:pt idx="133">
                  <c:v>360.4</c:v>
                </c:pt>
                <c:pt idx="134">
                  <c:v>146</c:v>
                </c:pt>
                <c:pt idx="135">
                  <c:v>317.5</c:v>
                </c:pt>
                <c:pt idx="136">
                  <c:v>311</c:v>
                </c:pt>
                <c:pt idx="137">
                  <c:v>530</c:v>
                </c:pt>
                <c:pt idx="138">
                  <c:v>39.5</c:v>
                </c:pt>
                <c:pt idx="139">
                  <c:v>310.5</c:v>
                </c:pt>
                <c:pt idx="140">
                  <c:v>116</c:v>
                </c:pt>
                <c:pt idx="141">
                  <c:v>300</c:v>
                </c:pt>
                <c:pt idx="142">
                  <c:v>213.7</c:v>
                </c:pt>
                <c:pt idx="143">
                  <c:v>333.5</c:v>
                </c:pt>
                <c:pt idx="144">
                  <c:v>272.63</c:v>
                </c:pt>
                <c:pt idx="145">
                  <c:v>329.5</c:v>
                </c:pt>
                <c:pt idx="146">
                  <c:v>294.10000000000002</c:v>
                </c:pt>
                <c:pt idx="147">
                  <c:v>304.43</c:v>
                </c:pt>
                <c:pt idx="148">
                  <c:v>346.5</c:v>
                </c:pt>
                <c:pt idx="149">
                  <c:v>477.5</c:v>
                </c:pt>
                <c:pt idx="150">
                  <c:v>281</c:v>
                </c:pt>
                <c:pt idx="151">
                  <c:v>398.86</c:v>
                </c:pt>
                <c:pt idx="152">
                  <c:v>269</c:v>
                </c:pt>
                <c:pt idx="153">
                  <c:v>324.3</c:v>
                </c:pt>
                <c:pt idx="154">
                  <c:v>126.5</c:v>
                </c:pt>
                <c:pt idx="155">
                  <c:v>261</c:v>
                </c:pt>
                <c:pt idx="156">
                  <c:v>169.5</c:v>
                </c:pt>
                <c:pt idx="157">
                  <c:v>646</c:v>
                </c:pt>
                <c:pt idx="158">
                  <c:v>158</c:v>
                </c:pt>
                <c:pt idx="159">
                  <c:v>310.8</c:v>
                </c:pt>
                <c:pt idx="160">
                  <c:v>317.5</c:v>
                </c:pt>
                <c:pt idx="161">
                  <c:v>354.5</c:v>
                </c:pt>
                <c:pt idx="162">
                  <c:v>83</c:v>
                </c:pt>
                <c:pt idx="163">
                  <c:v>451.5</c:v>
                </c:pt>
                <c:pt idx="164">
                  <c:v>139.5</c:v>
                </c:pt>
                <c:pt idx="165">
                  <c:v>384.5</c:v>
                </c:pt>
                <c:pt idx="166">
                  <c:v>142</c:v>
                </c:pt>
                <c:pt idx="167">
                  <c:v>228</c:v>
                </c:pt>
                <c:pt idx="168">
                  <c:v>267.5</c:v>
                </c:pt>
                <c:pt idx="169">
                  <c:v>127</c:v>
                </c:pt>
                <c:pt idx="170">
                  <c:v>267.5</c:v>
                </c:pt>
                <c:pt idx="171">
                  <c:v>128.58000000000001</c:v>
                </c:pt>
                <c:pt idx="172">
                  <c:v>327</c:v>
                </c:pt>
                <c:pt idx="173">
                  <c:v>153.56</c:v>
                </c:pt>
                <c:pt idx="174">
                  <c:v>119.5</c:v>
                </c:pt>
                <c:pt idx="175">
                  <c:v>372</c:v>
                </c:pt>
                <c:pt idx="176">
                  <c:v>150</c:v>
                </c:pt>
                <c:pt idx="177">
                  <c:v>311</c:v>
                </c:pt>
                <c:pt idx="178">
                  <c:v>367</c:v>
                </c:pt>
                <c:pt idx="179">
                  <c:v>135.5</c:v>
                </c:pt>
                <c:pt idx="180">
                  <c:v>122</c:v>
                </c:pt>
                <c:pt idx="181">
                  <c:v>362.5</c:v>
                </c:pt>
                <c:pt idx="182">
                  <c:v>305.8</c:v>
                </c:pt>
                <c:pt idx="183">
                  <c:v>406.4</c:v>
                </c:pt>
                <c:pt idx="184">
                  <c:v>134.5</c:v>
                </c:pt>
                <c:pt idx="185">
                  <c:v>355</c:v>
                </c:pt>
                <c:pt idx="186">
                  <c:v>572</c:v>
                </c:pt>
                <c:pt idx="187">
                  <c:v>302</c:v>
                </c:pt>
                <c:pt idx="188">
                  <c:v>326</c:v>
                </c:pt>
                <c:pt idx="189">
                  <c:v>318</c:v>
                </c:pt>
                <c:pt idx="190">
                  <c:v>398.76</c:v>
                </c:pt>
                <c:pt idx="191">
                  <c:v>124.05</c:v>
                </c:pt>
                <c:pt idx="192">
                  <c:v>324.5</c:v>
                </c:pt>
                <c:pt idx="193">
                  <c:v>119.36</c:v>
                </c:pt>
                <c:pt idx="194">
                  <c:v>379</c:v>
                </c:pt>
                <c:pt idx="195">
                  <c:v>111.5</c:v>
                </c:pt>
                <c:pt idx="196">
                  <c:v>328.5</c:v>
                </c:pt>
                <c:pt idx="197">
                  <c:v>123</c:v>
                </c:pt>
                <c:pt idx="198">
                  <c:v>332.9</c:v>
                </c:pt>
                <c:pt idx="199">
                  <c:v>95.2</c:v>
                </c:pt>
                <c:pt idx="200">
                  <c:v>398</c:v>
                </c:pt>
                <c:pt idx="201">
                  <c:v>119.6</c:v>
                </c:pt>
                <c:pt idx="202">
                  <c:v>349</c:v>
                </c:pt>
                <c:pt idx="203">
                  <c:v>115</c:v>
                </c:pt>
                <c:pt idx="204">
                  <c:v>109.5</c:v>
                </c:pt>
                <c:pt idx="205">
                  <c:v>139</c:v>
                </c:pt>
                <c:pt idx="206">
                  <c:v>120</c:v>
                </c:pt>
                <c:pt idx="207">
                  <c:v>217.5</c:v>
                </c:pt>
                <c:pt idx="208">
                  <c:v>84.5</c:v>
                </c:pt>
                <c:pt idx="209">
                  <c:v>342</c:v>
                </c:pt>
                <c:pt idx="210">
                  <c:v>268</c:v>
                </c:pt>
                <c:pt idx="211">
                  <c:v>370.5</c:v>
                </c:pt>
                <c:pt idx="212">
                  <c:v>123</c:v>
                </c:pt>
                <c:pt idx="213">
                  <c:v>195.2</c:v>
                </c:pt>
                <c:pt idx="214">
                  <c:v>129.9</c:v>
                </c:pt>
                <c:pt idx="215">
                  <c:v>167</c:v>
                </c:pt>
                <c:pt idx="216">
                  <c:v>208</c:v>
                </c:pt>
                <c:pt idx="217">
                  <c:v>162</c:v>
                </c:pt>
                <c:pt idx="218">
                  <c:v>208</c:v>
                </c:pt>
                <c:pt idx="219">
                  <c:v>63</c:v>
                </c:pt>
                <c:pt idx="220">
                  <c:v>415</c:v>
                </c:pt>
                <c:pt idx="221">
                  <c:v>150</c:v>
                </c:pt>
                <c:pt idx="222">
                  <c:v>185</c:v>
                </c:pt>
                <c:pt idx="223">
                  <c:v>233</c:v>
                </c:pt>
                <c:pt idx="224">
                  <c:v>189</c:v>
                </c:pt>
                <c:pt idx="225">
                  <c:v>380</c:v>
                </c:pt>
                <c:pt idx="226">
                  <c:v>146</c:v>
                </c:pt>
                <c:pt idx="227">
                  <c:v>492</c:v>
                </c:pt>
                <c:pt idx="228">
                  <c:v>243</c:v>
                </c:pt>
                <c:pt idx="229">
                  <c:v>557</c:v>
                </c:pt>
                <c:pt idx="230">
                  <c:v>437</c:v>
                </c:pt>
                <c:pt idx="231">
                  <c:v>177</c:v>
                </c:pt>
                <c:pt idx="232">
                  <c:v>244</c:v>
                </c:pt>
                <c:pt idx="233">
                  <c:v>638</c:v>
                </c:pt>
                <c:pt idx="234">
                  <c:v>96</c:v>
                </c:pt>
                <c:pt idx="235">
                  <c:v>65</c:v>
                </c:pt>
                <c:pt idx="236">
                  <c:v>91</c:v>
                </c:pt>
                <c:pt idx="237">
                  <c:v>241</c:v>
                </c:pt>
                <c:pt idx="238">
                  <c:v>93</c:v>
                </c:pt>
                <c:pt idx="239">
                  <c:v>74</c:v>
                </c:pt>
                <c:pt idx="240">
                  <c:v>485</c:v>
                </c:pt>
                <c:pt idx="241">
                  <c:v>545.5</c:v>
                </c:pt>
                <c:pt idx="242">
                  <c:v>534</c:v>
                </c:pt>
                <c:pt idx="243">
                  <c:v>481</c:v>
                </c:pt>
                <c:pt idx="244">
                  <c:v>327</c:v>
                </c:pt>
                <c:pt idx="245">
                  <c:v>177</c:v>
                </c:pt>
                <c:pt idx="246">
                  <c:v>184</c:v>
                </c:pt>
                <c:pt idx="247">
                  <c:v>186.5</c:v>
                </c:pt>
                <c:pt idx="248">
                  <c:v>202</c:v>
                </c:pt>
                <c:pt idx="249">
                  <c:v>247</c:v>
                </c:pt>
                <c:pt idx="250">
                  <c:v>253</c:v>
                </c:pt>
                <c:pt idx="251">
                  <c:v>535</c:v>
                </c:pt>
                <c:pt idx="252">
                  <c:v>177</c:v>
                </c:pt>
                <c:pt idx="253">
                  <c:v>329</c:v>
                </c:pt>
                <c:pt idx="254">
                  <c:v>512</c:v>
                </c:pt>
                <c:pt idx="255">
                  <c:v>71</c:v>
                </c:pt>
                <c:pt idx="256">
                  <c:v>83.5</c:v>
                </c:pt>
                <c:pt idx="257">
                  <c:v>57</c:v>
                </c:pt>
                <c:pt idx="258">
                  <c:v>211</c:v>
                </c:pt>
                <c:pt idx="259">
                  <c:v>255</c:v>
                </c:pt>
                <c:pt idx="260">
                  <c:v>190</c:v>
                </c:pt>
                <c:pt idx="261">
                  <c:v>185</c:v>
                </c:pt>
                <c:pt idx="262">
                  <c:v>216</c:v>
                </c:pt>
                <c:pt idx="263">
                  <c:v>420</c:v>
                </c:pt>
                <c:pt idx="264">
                  <c:v>433.5</c:v>
                </c:pt>
                <c:pt idx="265">
                  <c:v>104</c:v>
                </c:pt>
                <c:pt idx="266">
                  <c:v>100</c:v>
                </c:pt>
                <c:pt idx="267">
                  <c:v>350</c:v>
                </c:pt>
                <c:pt idx="268">
                  <c:v>96</c:v>
                </c:pt>
                <c:pt idx="269">
                  <c:v>151</c:v>
                </c:pt>
                <c:pt idx="270">
                  <c:v>181</c:v>
                </c:pt>
                <c:pt idx="271">
                  <c:v>225</c:v>
                </c:pt>
                <c:pt idx="272">
                  <c:v>165</c:v>
                </c:pt>
                <c:pt idx="273">
                  <c:v>233</c:v>
                </c:pt>
                <c:pt idx="274">
                  <c:v>157</c:v>
                </c:pt>
                <c:pt idx="275">
                  <c:v>238</c:v>
                </c:pt>
                <c:pt idx="276">
                  <c:v>660</c:v>
                </c:pt>
                <c:pt idx="277">
                  <c:v>549</c:v>
                </c:pt>
                <c:pt idx="278">
                  <c:v>446.5</c:v>
                </c:pt>
                <c:pt idx="279">
                  <c:v>354</c:v>
                </c:pt>
                <c:pt idx="280">
                  <c:v>396.2</c:v>
                </c:pt>
                <c:pt idx="281">
                  <c:v>551.5</c:v>
                </c:pt>
                <c:pt idx="282">
                  <c:v>253</c:v>
                </c:pt>
                <c:pt idx="283">
                  <c:v>467.5</c:v>
                </c:pt>
                <c:pt idx="284">
                  <c:v>343.4</c:v>
                </c:pt>
                <c:pt idx="285">
                  <c:v>249</c:v>
                </c:pt>
                <c:pt idx="286">
                  <c:v>275</c:v>
                </c:pt>
                <c:pt idx="287">
                  <c:v>611</c:v>
                </c:pt>
                <c:pt idx="288">
                  <c:v>425.5</c:v>
                </c:pt>
                <c:pt idx="289">
                  <c:v>395</c:v>
                </c:pt>
                <c:pt idx="290">
                  <c:v>421.5</c:v>
                </c:pt>
                <c:pt idx="291">
                  <c:v>378</c:v>
                </c:pt>
                <c:pt idx="292">
                  <c:v>253</c:v>
                </c:pt>
                <c:pt idx="293">
                  <c:v>400</c:v>
                </c:pt>
                <c:pt idx="294">
                  <c:v>471</c:v>
                </c:pt>
                <c:pt idx="295">
                  <c:v>398.5</c:v>
                </c:pt>
                <c:pt idx="296">
                  <c:v>257</c:v>
                </c:pt>
                <c:pt idx="297">
                  <c:v>439</c:v>
                </c:pt>
                <c:pt idx="298">
                  <c:v>74.5</c:v>
                </c:pt>
                <c:pt idx="299">
                  <c:v>50.5</c:v>
                </c:pt>
                <c:pt idx="300">
                  <c:v>156</c:v>
                </c:pt>
                <c:pt idx="301">
                  <c:v>79</c:v>
                </c:pt>
                <c:pt idx="302">
                  <c:v>229</c:v>
                </c:pt>
                <c:pt idx="303">
                  <c:v>153</c:v>
                </c:pt>
                <c:pt idx="304">
                  <c:v>117.8</c:v>
                </c:pt>
                <c:pt idx="305">
                  <c:v>156</c:v>
                </c:pt>
                <c:pt idx="306">
                  <c:v>171</c:v>
                </c:pt>
                <c:pt idx="307">
                  <c:v>107</c:v>
                </c:pt>
                <c:pt idx="308">
                  <c:v>208</c:v>
                </c:pt>
                <c:pt idx="309">
                  <c:v>243.6</c:v>
                </c:pt>
                <c:pt idx="310">
                  <c:v>127</c:v>
                </c:pt>
                <c:pt idx="311">
                  <c:v>159</c:v>
                </c:pt>
                <c:pt idx="312">
                  <c:v>136</c:v>
                </c:pt>
                <c:pt idx="313">
                  <c:v>127</c:v>
                </c:pt>
                <c:pt idx="314">
                  <c:v>138</c:v>
                </c:pt>
                <c:pt idx="315">
                  <c:v>119</c:v>
                </c:pt>
                <c:pt idx="316">
                  <c:v>98.5</c:v>
                </c:pt>
                <c:pt idx="317">
                  <c:v>149.80000000000001</c:v>
                </c:pt>
                <c:pt idx="318">
                  <c:v>354.6</c:v>
                </c:pt>
                <c:pt idx="319">
                  <c:v>146.6</c:v>
                </c:pt>
                <c:pt idx="320">
                  <c:v>109.6</c:v>
                </c:pt>
                <c:pt idx="321">
                  <c:v>132.1</c:v>
                </c:pt>
                <c:pt idx="322">
                  <c:v>158.19999999999999</c:v>
                </c:pt>
                <c:pt idx="323">
                  <c:v>486.8</c:v>
                </c:pt>
                <c:pt idx="324">
                  <c:v>211</c:v>
                </c:pt>
                <c:pt idx="325">
                  <c:v>141.80000000000001</c:v>
                </c:pt>
                <c:pt idx="326">
                  <c:v>172</c:v>
                </c:pt>
                <c:pt idx="327">
                  <c:v>167</c:v>
                </c:pt>
                <c:pt idx="328">
                  <c:v>155.6</c:v>
                </c:pt>
                <c:pt idx="329">
                  <c:v>110</c:v>
                </c:pt>
                <c:pt idx="330">
                  <c:v>636.6</c:v>
                </c:pt>
                <c:pt idx="331">
                  <c:v>488.3</c:v>
                </c:pt>
                <c:pt idx="332">
                  <c:v>680</c:v>
                </c:pt>
                <c:pt idx="333">
                  <c:v>369.3</c:v>
                </c:pt>
                <c:pt idx="334">
                  <c:v>481</c:v>
                </c:pt>
                <c:pt idx="335">
                  <c:v>232.6</c:v>
                </c:pt>
                <c:pt idx="336">
                  <c:v>240.7</c:v>
                </c:pt>
                <c:pt idx="337">
                  <c:v>259.7</c:v>
                </c:pt>
                <c:pt idx="338">
                  <c:v>227</c:v>
                </c:pt>
                <c:pt idx="339">
                  <c:v>173.5</c:v>
                </c:pt>
                <c:pt idx="340">
                  <c:v>203</c:v>
                </c:pt>
                <c:pt idx="341">
                  <c:v>268</c:v>
                </c:pt>
                <c:pt idx="342">
                  <c:v>115</c:v>
                </c:pt>
                <c:pt idx="343">
                  <c:v>386.6</c:v>
                </c:pt>
                <c:pt idx="344">
                  <c:v>202.6</c:v>
                </c:pt>
                <c:pt idx="345">
                  <c:v>207.5</c:v>
                </c:pt>
                <c:pt idx="346">
                  <c:v>184</c:v>
                </c:pt>
                <c:pt idx="347">
                  <c:v>105.4</c:v>
                </c:pt>
                <c:pt idx="348">
                  <c:v>235</c:v>
                </c:pt>
                <c:pt idx="349">
                  <c:v>186.4</c:v>
                </c:pt>
                <c:pt idx="350">
                  <c:v>159</c:v>
                </c:pt>
                <c:pt idx="351">
                  <c:v>117.8</c:v>
                </c:pt>
                <c:pt idx="352">
                  <c:v>149.30000000000001</c:v>
                </c:pt>
                <c:pt idx="353">
                  <c:v>186.2</c:v>
                </c:pt>
                <c:pt idx="354">
                  <c:v>146.4</c:v>
                </c:pt>
                <c:pt idx="355">
                  <c:v>154.69999999999999</c:v>
                </c:pt>
                <c:pt idx="356">
                  <c:v>147</c:v>
                </c:pt>
                <c:pt idx="357">
                  <c:v>144</c:v>
                </c:pt>
                <c:pt idx="358">
                  <c:v>81</c:v>
                </c:pt>
                <c:pt idx="359">
                  <c:v>181</c:v>
                </c:pt>
                <c:pt idx="360">
                  <c:v>136</c:v>
                </c:pt>
                <c:pt idx="361">
                  <c:v>168</c:v>
                </c:pt>
                <c:pt idx="362">
                  <c:v>319.5</c:v>
                </c:pt>
                <c:pt idx="363">
                  <c:v>289.5</c:v>
                </c:pt>
                <c:pt idx="364">
                  <c:v>252</c:v>
                </c:pt>
                <c:pt idx="365">
                  <c:v>275</c:v>
                </c:pt>
                <c:pt idx="366">
                  <c:v>367.5</c:v>
                </c:pt>
                <c:pt idx="367">
                  <c:v>276</c:v>
                </c:pt>
                <c:pt idx="368">
                  <c:v>283</c:v>
                </c:pt>
                <c:pt idx="369">
                  <c:v>329.5</c:v>
                </c:pt>
                <c:pt idx="370">
                  <c:v>190.5</c:v>
                </c:pt>
                <c:pt idx="371">
                  <c:v>186.5</c:v>
                </c:pt>
                <c:pt idx="372">
                  <c:v>176</c:v>
                </c:pt>
                <c:pt idx="373">
                  <c:v>678.5</c:v>
                </c:pt>
                <c:pt idx="374">
                  <c:v>173</c:v>
                </c:pt>
                <c:pt idx="375">
                  <c:v>119</c:v>
                </c:pt>
                <c:pt idx="376">
                  <c:v>119</c:v>
                </c:pt>
                <c:pt idx="377">
                  <c:v>512</c:v>
                </c:pt>
                <c:pt idx="378">
                  <c:v>168.5</c:v>
                </c:pt>
                <c:pt idx="379">
                  <c:v>56.5</c:v>
                </c:pt>
                <c:pt idx="380">
                  <c:v>270</c:v>
                </c:pt>
                <c:pt idx="381">
                  <c:v>208</c:v>
                </c:pt>
                <c:pt idx="382">
                  <c:v>663.5</c:v>
                </c:pt>
                <c:pt idx="383">
                  <c:v>480.5</c:v>
                </c:pt>
                <c:pt idx="384">
                  <c:v>341</c:v>
                </c:pt>
                <c:pt idx="385">
                  <c:v>132</c:v>
                </c:pt>
                <c:pt idx="386">
                  <c:v>130.5</c:v>
                </c:pt>
                <c:pt idx="387">
                  <c:v>151.5</c:v>
                </c:pt>
                <c:pt idx="388">
                  <c:v>165.5</c:v>
                </c:pt>
                <c:pt idx="389">
                  <c:v>128</c:v>
                </c:pt>
                <c:pt idx="390">
                  <c:v>237</c:v>
                </c:pt>
                <c:pt idx="391">
                  <c:v>492</c:v>
                </c:pt>
                <c:pt idx="392">
                  <c:v>201.5</c:v>
                </c:pt>
                <c:pt idx="393">
                  <c:v>295.5</c:v>
                </c:pt>
                <c:pt idx="394">
                  <c:v>258</c:v>
                </c:pt>
                <c:pt idx="395">
                  <c:v>149</c:v>
                </c:pt>
                <c:pt idx="396">
                  <c:v>347.5</c:v>
                </c:pt>
                <c:pt idx="397">
                  <c:v>201</c:v>
                </c:pt>
                <c:pt idx="398">
                  <c:v>103</c:v>
                </c:pt>
                <c:pt idx="399">
                  <c:v>215</c:v>
                </c:pt>
                <c:pt idx="400">
                  <c:v>113</c:v>
                </c:pt>
                <c:pt idx="401">
                  <c:v>140</c:v>
                </c:pt>
                <c:pt idx="402">
                  <c:v>218</c:v>
                </c:pt>
                <c:pt idx="403">
                  <c:v>262</c:v>
                </c:pt>
                <c:pt idx="404">
                  <c:v>374</c:v>
                </c:pt>
                <c:pt idx="405">
                  <c:v>155.19999999999999</c:v>
                </c:pt>
                <c:pt idx="406">
                  <c:v>244.7</c:v>
                </c:pt>
                <c:pt idx="407">
                  <c:v>598.79999999999995</c:v>
                </c:pt>
                <c:pt idx="408">
                  <c:v>424</c:v>
                </c:pt>
                <c:pt idx="409">
                  <c:v>733.9</c:v>
                </c:pt>
                <c:pt idx="410">
                  <c:v>170.5</c:v>
                </c:pt>
                <c:pt idx="411">
                  <c:v>276.5</c:v>
                </c:pt>
                <c:pt idx="412">
                  <c:v>379.9</c:v>
                </c:pt>
                <c:pt idx="413">
                  <c:v>200.1</c:v>
                </c:pt>
                <c:pt idx="414">
                  <c:v>256.89999999999998</c:v>
                </c:pt>
                <c:pt idx="415">
                  <c:v>359</c:v>
                </c:pt>
                <c:pt idx="416">
                  <c:v>318</c:v>
                </c:pt>
                <c:pt idx="417">
                  <c:v>217.5</c:v>
                </c:pt>
                <c:pt idx="418">
                  <c:v>244</c:v>
                </c:pt>
                <c:pt idx="419">
                  <c:v>326.85000000000002</c:v>
                </c:pt>
                <c:pt idx="420">
                  <c:v>234.5</c:v>
                </c:pt>
                <c:pt idx="421">
                  <c:v>284.93</c:v>
                </c:pt>
                <c:pt idx="422">
                  <c:v>240</c:v>
                </c:pt>
                <c:pt idx="423">
                  <c:v>252</c:v>
                </c:pt>
                <c:pt idx="424">
                  <c:v>271.33</c:v>
                </c:pt>
                <c:pt idx="425">
                  <c:v>250</c:v>
                </c:pt>
                <c:pt idx="426">
                  <c:v>410.24</c:v>
                </c:pt>
                <c:pt idx="427">
                  <c:v>697</c:v>
                </c:pt>
                <c:pt idx="428">
                  <c:v>699.5</c:v>
                </c:pt>
                <c:pt idx="429">
                  <c:v>310.8</c:v>
                </c:pt>
                <c:pt idx="430">
                  <c:v>281</c:v>
                </c:pt>
                <c:pt idx="431">
                  <c:v>328</c:v>
                </c:pt>
                <c:pt idx="432">
                  <c:v>474.4</c:v>
                </c:pt>
                <c:pt idx="433">
                  <c:v>226.45</c:v>
                </c:pt>
                <c:pt idx="434">
                  <c:v>444</c:v>
                </c:pt>
                <c:pt idx="435">
                  <c:v>720.5</c:v>
                </c:pt>
                <c:pt idx="436">
                  <c:v>437</c:v>
                </c:pt>
                <c:pt idx="437">
                  <c:v>549</c:v>
                </c:pt>
                <c:pt idx="438">
                  <c:v>345.5</c:v>
                </c:pt>
                <c:pt idx="439">
                  <c:v>523.29999999999995</c:v>
                </c:pt>
                <c:pt idx="440">
                  <c:v>593.21</c:v>
                </c:pt>
                <c:pt idx="441">
                  <c:v>250.05</c:v>
                </c:pt>
                <c:pt idx="442">
                  <c:v>270.32</c:v>
                </c:pt>
                <c:pt idx="443">
                  <c:v>242.64</c:v>
                </c:pt>
                <c:pt idx="444">
                  <c:v>271.8</c:v>
                </c:pt>
                <c:pt idx="445">
                  <c:v>297.5</c:v>
                </c:pt>
                <c:pt idx="446">
                  <c:v>239</c:v>
                </c:pt>
                <c:pt idx="447">
                  <c:v>340.85</c:v>
                </c:pt>
                <c:pt idx="448">
                  <c:v>296</c:v>
                </c:pt>
                <c:pt idx="449">
                  <c:v>345.8</c:v>
                </c:pt>
                <c:pt idx="450">
                  <c:v>256.25</c:v>
                </c:pt>
                <c:pt idx="451">
                  <c:v>296</c:v>
                </c:pt>
                <c:pt idx="452">
                  <c:v>383.9</c:v>
                </c:pt>
                <c:pt idx="453">
                  <c:v>383</c:v>
                </c:pt>
                <c:pt idx="454">
                  <c:v>282.5</c:v>
                </c:pt>
                <c:pt idx="455">
                  <c:v>341.97</c:v>
                </c:pt>
                <c:pt idx="456">
                  <c:v>363.7</c:v>
                </c:pt>
                <c:pt idx="457">
                  <c:v>330.93</c:v>
                </c:pt>
                <c:pt idx="458">
                  <c:v>255.4</c:v>
                </c:pt>
                <c:pt idx="459">
                  <c:v>653.29999999999995</c:v>
                </c:pt>
                <c:pt idx="460">
                  <c:v>286.60000000000002</c:v>
                </c:pt>
                <c:pt idx="461">
                  <c:v>266.5</c:v>
                </c:pt>
                <c:pt idx="462">
                  <c:v>224</c:v>
                </c:pt>
                <c:pt idx="463">
                  <c:v>342</c:v>
                </c:pt>
                <c:pt idx="464">
                  <c:v>432</c:v>
                </c:pt>
                <c:pt idx="465">
                  <c:v>439.3</c:v>
                </c:pt>
                <c:pt idx="466">
                  <c:v>413.3</c:v>
                </c:pt>
                <c:pt idx="467">
                  <c:v>292.10000000000002</c:v>
                </c:pt>
                <c:pt idx="468">
                  <c:v>355.8</c:v>
                </c:pt>
                <c:pt idx="469">
                  <c:v>326.5</c:v>
                </c:pt>
                <c:pt idx="470">
                  <c:v>410.6</c:v>
                </c:pt>
                <c:pt idx="471">
                  <c:v>346.8</c:v>
                </c:pt>
                <c:pt idx="472">
                  <c:v>352.3</c:v>
                </c:pt>
                <c:pt idx="473">
                  <c:v>388.4</c:v>
                </c:pt>
                <c:pt idx="474">
                  <c:v>617.5</c:v>
                </c:pt>
                <c:pt idx="475">
                  <c:v>264.3</c:v>
                </c:pt>
                <c:pt idx="476">
                  <c:v>420.5</c:v>
                </c:pt>
                <c:pt idx="477">
                  <c:v>314</c:v>
                </c:pt>
                <c:pt idx="478">
                  <c:v>525</c:v>
                </c:pt>
                <c:pt idx="479">
                  <c:v>379</c:v>
                </c:pt>
                <c:pt idx="480">
                  <c:v>365</c:v>
                </c:pt>
                <c:pt idx="481">
                  <c:v>1064.7</c:v>
                </c:pt>
                <c:pt idx="482">
                  <c:v>334.1</c:v>
                </c:pt>
                <c:pt idx="483">
                  <c:v>819.6</c:v>
                </c:pt>
                <c:pt idx="484">
                  <c:v>339.7</c:v>
                </c:pt>
                <c:pt idx="485">
                  <c:v>389</c:v>
                </c:pt>
                <c:pt idx="486">
                  <c:v>346.6</c:v>
                </c:pt>
                <c:pt idx="487">
                  <c:v>831.4</c:v>
                </c:pt>
                <c:pt idx="488">
                  <c:v>1095.5</c:v>
                </c:pt>
                <c:pt idx="489">
                  <c:v>763.6</c:v>
                </c:pt>
                <c:pt idx="490">
                  <c:v>494.6</c:v>
                </c:pt>
                <c:pt idx="491">
                  <c:v>210.6</c:v>
                </c:pt>
                <c:pt idx="492">
                  <c:v>474</c:v>
                </c:pt>
                <c:pt idx="493">
                  <c:v>294.89999999999998</c:v>
                </c:pt>
                <c:pt idx="494">
                  <c:v>291.60000000000002</c:v>
                </c:pt>
                <c:pt idx="495">
                  <c:v>400.7</c:v>
                </c:pt>
                <c:pt idx="496">
                  <c:v>531.9</c:v>
                </c:pt>
                <c:pt idx="497">
                  <c:v>665</c:v>
                </c:pt>
                <c:pt idx="498">
                  <c:v>797.1</c:v>
                </c:pt>
                <c:pt idx="499">
                  <c:v>568.1</c:v>
                </c:pt>
                <c:pt idx="500">
                  <c:v>1464.9</c:v>
                </c:pt>
                <c:pt idx="501">
                  <c:v>1001.8</c:v>
                </c:pt>
                <c:pt idx="502">
                  <c:v>374.9</c:v>
                </c:pt>
                <c:pt idx="503">
                  <c:v>320.3</c:v>
                </c:pt>
                <c:pt idx="504">
                  <c:v>591.5</c:v>
                </c:pt>
                <c:pt idx="505">
                  <c:v>460</c:v>
                </c:pt>
                <c:pt idx="506">
                  <c:v>223.4</c:v>
                </c:pt>
                <c:pt idx="507" formatCode="General">
                  <c:v>377</c:v>
                </c:pt>
                <c:pt idx="508" formatCode="General">
                  <c:v>787</c:v>
                </c:pt>
                <c:pt idx="509" formatCode="General">
                  <c:v>792</c:v>
                </c:pt>
                <c:pt idx="510" formatCode="General">
                  <c:v>595</c:v>
                </c:pt>
                <c:pt idx="511" formatCode="General">
                  <c:v>204</c:v>
                </c:pt>
                <c:pt idx="512" formatCode="General">
                  <c:v>347</c:v>
                </c:pt>
                <c:pt idx="513" formatCode="General">
                  <c:v>326</c:v>
                </c:pt>
                <c:pt idx="514" formatCode="General">
                  <c:v>174</c:v>
                </c:pt>
                <c:pt idx="515" formatCode="General">
                  <c:v>207</c:v>
                </c:pt>
                <c:pt idx="516" formatCode="General">
                  <c:v>212</c:v>
                </c:pt>
                <c:pt idx="517" formatCode="General">
                  <c:v>211</c:v>
                </c:pt>
                <c:pt idx="518" formatCode="General">
                  <c:v>290</c:v>
                </c:pt>
                <c:pt idx="519" formatCode="General">
                  <c:v>331</c:v>
                </c:pt>
                <c:pt idx="520" formatCode="General">
                  <c:v>250</c:v>
                </c:pt>
                <c:pt idx="521" formatCode="General">
                  <c:v>255</c:v>
                </c:pt>
                <c:pt idx="522" formatCode="General">
                  <c:v>210</c:v>
                </c:pt>
                <c:pt idx="523" formatCode="General">
                  <c:v>305</c:v>
                </c:pt>
                <c:pt idx="524" formatCode="General">
                  <c:v>238</c:v>
                </c:pt>
                <c:pt idx="525" formatCode="General">
                  <c:v>138</c:v>
                </c:pt>
                <c:pt idx="526" formatCode="General">
                  <c:v>152</c:v>
                </c:pt>
                <c:pt idx="527" formatCode="General">
                  <c:v>129</c:v>
                </c:pt>
                <c:pt idx="528" formatCode="General">
                  <c:v>175</c:v>
                </c:pt>
                <c:pt idx="529" formatCode="General">
                  <c:v>151</c:v>
                </c:pt>
                <c:pt idx="530" formatCode="General">
                  <c:v>542</c:v>
                </c:pt>
                <c:pt idx="531" formatCode="General">
                  <c:v>352</c:v>
                </c:pt>
                <c:pt idx="532" formatCode="General">
                  <c:v>208</c:v>
                </c:pt>
                <c:pt idx="533" formatCode="General">
                  <c:v>307</c:v>
                </c:pt>
                <c:pt idx="534" formatCode="General">
                  <c:v>235</c:v>
                </c:pt>
                <c:pt idx="535" formatCode="General">
                  <c:v>238</c:v>
                </c:pt>
                <c:pt idx="536" formatCode="General">
                  <c:v>511</c:v>
                </c:pt>
                <c:pt idx="537" formatCode="General">
                  <c:v>516</c:v>
                </c:pt>
                <c:pt idx="538" formatCode="General">
                  <c:v>273</c:v>
                </c:pt>
                <c:pt idx="539" formatCode="General">
                  <c:v>363</c:v>
                </c:pt>
                <c:pt idx="540" formatCode="General">
                  <c:v>396</c:v>
                </c:pt>
                <c:pt idx="541" formatCode="General">
                  <c:v>295</c:v>
                </c:pt>
                <c:pt idx="542" formatCode="General">
                  <c:v>319</c:v>
                </c:pt>
                <c:pt idx="543" formatCode="General">
                  <c:v>269</c:v>
                </c:pt>
                <c:pt idx="544" formatCode="General">
                  <c:v>227</c:v>
                </c:pt>
                <c:pt idx="545" formatCode="General">
                  <c:v>191</c:v>
                </c:pt>
                <c:pt idx="546" formatCode="General">
                  <c:v>298</c:v>
                </c:pt>
                <c:pt idx="547" formatCode="General">
                  <c:v>570</c:v>
                </c:pt>
                <c:pt idx="548" formatCode="General">
                  <c:v>110</c:v>
                </c:pt>
                <c:pt idx="549" formatCode="General">
                  <c:v>161</c:v>
                </c:pt>
                <c:pt idx="550" formatCode="General">
                  <c:v>187</c:v>
                </c:pt>
                <c:pt idx="551" formatCode="General">
                  <c:v>732</c:v>
                </c:pt>
                <c:pt idx="552" formatCode="General">
                  <c:v>919</c:v>
                </c:pt>
                <c:pt idx="553" formatCode="General">
                  <c:v>130</c:v>
                </c:pt>
                <c:pt idx="554" formatCode="General">
                  <c:v>817</c:v>
                </c:pt>
                <c:pt idx="555" formatCode="General">
                  <c:v>675</c:v>
                </c:pt>
                <c:pt idx="556" formatCode="General">
                  <c:v>680</c:v>
                </c:pt>
                <c:pt idx="557" formatCode="General">
                  <c:v>189.5</c:v>
                </c:pt>
                <c:pt idx="558" formatCode="General">
                  <c:v>241</c:v>
                </c:pt>
                <c:pt idx="559" formatCode="General">
                  <c:v>258</c:v>
                </c:pt>
                <c:pt idx="560" formatCode="General">
                  <c:v>348</c:v>
                </c:pt>
                <c:pt idx="561" formatCode="General">
                  <c:v>257</c:v>
                </c:pt>
                <c:pt idx="562" formatCode="General">
                  <c:v>158</c:v>
                </c:pt>
                <c:pt idx="563" formatCode="General">
                  <c:v>131.81</c:v>
                </c:pt>
                <c:pt idx="564" formatCode="General">
                  <c:v>105.03</c:v>
                </c:pt>
                <c:pt idx="565" formatCode="General">
                  <c:v>138.65</c:v>
                </c:pt>
                <c:pt idx="566" formatCode="General">
                  <c:v>196.32</c:v>
                </c:pt>
                <c:pt idx="567" formatCode="General">
                  <c:v>191.27</c:v>
                </c:pt>
                <c:pt idx="568" formatCode="General">
                  <c:v>128.18</c:v>
                </c:pt>
                <c:pt idx="569" formatCode="General">
                  <c:v>231.36</c:v>
                </c:pt>
                <c:pt idx="570" formatCode="General">
                  <c:v>91.2</c:v>
                </c:pt>
                <c:pt idx="571" formatCode="General">
                  <c:v>787</c:v>
                </c:pt>
                <c:pt idx="572" formatCode="General">
                  <c:v>218.09</c:v>
                </c:pt>
                <c:pt idx="573" formatCode="General">
                  <c:v>282.44</c:v>
                </c:pt>
                <c:pt idx="574" formatCode="General">
                  <c:v>155.5</c:v>
                </c:pt>
                <c:pt idx="575" formatCode="General">
                  <c:v>191</c:v>
                </c:pt>
                <c:pt idx="576" formatCode="General">
                  <c:v>739.5</c:v>
                </c:pt>
                <c:pt idx="577" formatCode="General">
                  <c:v>121.5</c:v>
                </c:pt>
                <c:pt idx="578" formatCode="General">
                  <c:v>179.46</c:v>
                </c:pt>
                <c:pt idx="579" formatCode="General">
                  <c:v>414.7</c:v>
                </c:pt>
                <c:pt idx="580" formatCode="General">
                  <c:v>199.44</c:v>
                </c:pt>
                <c:pt idx="581" formatCode="General">
                  <c:v>190.7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6-46F8-B406-D515F8B8A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774552"/>
        <c:axId val="954775272"/>
        <c:extLst/>
      </c:scatterChart>
      <c:valAx>
        <c:axId val="95477455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75272"/>
        <c:crosses val="autoZero"/>
        <c:crossBetween val="midCat"/>
      </c:valAx>
      <c:valAx>
        <c:axId val="95477527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74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'GSI pivot'!$G$4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'GSI pivot'!$M$5:$M$8</c:f>
                <c:numCache>
                  <c:formatCode>General</c:formatCode>
                  <c:ptCount val="4"/>
                  <c:pt idx="0">
                    <c:v>2.9016493301677868E-3</c:v>
                  </c:pt>
                  <c:pt idx="1">
                    <c:v>2.8426250066441801E-3</c:v>
                  </c:pt>
                  <c:pt idx="2">
                    <c:v>2.2504625304840004E-3</c:v>
                  </c:pt>
                  <c:pt idx="3">
                    <c:v>3.1133509297070852E-3</c:v>
                  </c:pt>
                </c:numCache>
              </c:numRef>
            </c:plus>
            <c:minus>
              <c:numRef>
                <c:f>'GSI pivot'!$M$5:$M$8</c:f>
                <c:numCache>
                  <c:formatCode>General</c:formatCode>
                  <c:ptCount val="4"/>
                  <c:pt idx="0">
                    <c:v>2.9016493301677868E-3</c:v>
                  </c:pt>
                  <c:pt idx="1">
                    <c:v>2.8426250066441801E-3</c:v>
                  </c:pt>
                  <c:pt idx="2">
                    <c:v>2.2504625304840004E-3</c:v>
                  </c:pt>
                  <c:pt idx="3">
                    <c:v>3.1133509297070852E-3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'GSI pivot'!$G$5:$G$8</c:f>
              <c:numCache>
                <c:formatCode>0.000</c:formatCode>
                <c:ptCount val="4"/>
                <c:pt idx="0">
                  <c:v>1.8138428738461658E-2</c:v>
                </c:pt>
                <c:pt idx="1">
                  <c:v>4.515406504168052E-2</c:v>
                </c:pt>
                <c:pt idx="2">
                  <c:v>3.9441761500988888E-2</c:v>
                </c:pt>
                <c:pt idx="3">
                  <c:v>1.6290814626440855E-2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0-4D0B-B94D-00BB45DE975A}"/>
            </c:ext>
          </c:extLst>
        </c:ser>
        <c:ser>
          <c:idx val="2"/>
          <c:order val="2"/>
          <c:tx>
            <c:strRef>
              <c:f>'GSI pivot'!$H$4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'GSI pivot'!$H$5:$H$8</c:f>
              <c:numCache>
                <c:formatCode>0.000</c:formatCode>
                <c:ptCount val="4"/>
                <c:pt idx="0">
                  <c:v>1.6081254268361021E-2</c:v>
                </c:pt>
                <c:pt idx="1">
                  <c:v>4.2500426780142014E-2</c:v>
                </c:pt>
                <c:pt idx="2">
                  <c:v>2.7673004077612036E-2</c:v>
                </c:pt>
                <c:pt idx="3">
                  <c:v>4.5996606699734554E-3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70-4D0B-B94D-00BB45DE9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396080"/>
        <c:axId val="9603978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'GSI pivot'!$F$4</c15:sqref>
                        </c15:formulaRef>
                      </c:ext>
                    </c:extLst>
                    <c:strCache>
                      <c:ptCount val="1"/>
                      <c:pt idx="0">
                        <c:v>Row Labels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'GSI pivot'!$F$5:$F$8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B70-4D0B-B94D-00BB45DE975A}"/>
                  </c:ext>
                </c:extLst>
              </c15:ser>
            </c15:filteredBarSeries>
          </c:ext>
        </c:extLst>
      </c:barChart>
      <c:catAx>
        <c:axId val="960396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397880"/>
        <c:crosses val="autoZero"/>
        <c:auto val="1"/>
        <c:lblAlgn val="ctr"/>
        <c:lblOffset val="100"/>
        <c:noMultiLvlLbl val="0"/>
      </c:catAx>
      <c:valAx>
        <c:axId val="96039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39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4E25C9F-6CC0-4650-9EE1-BC964F7885DD}">
  <sheetPr/>
  <sheetViews>
    <sheetView zoomScale="9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E40363-F138-4AD8-88BD-A9D3C3362CFA}">
  <sheetPr/>
  <sheetViews>
    <sheetView zoomScale="9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C30088-406E-4785-839F-D47DB6DC2ED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379" cy="60077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9AB3B-3A18-F8F8-A5DB-070BCE092B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8379" cy="60077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410F12-345A-6A52-2C02-261280C96C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1809" cy="60554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AB933E-E1EA-9341-A7F3-958420F3E18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lin Attwood" refreshedDate="45546.543620486111" createdVersion="8" refreshedVersion="8" minRefreshableVersion="3" recordCount="557" xr:uid="{37F47932-BEDC-4FAB-A753-91F7874DEA66}">
  <cacheSource type="worksheet">
    <worksheetSource ref="A1:P558" sheet="P.blochii"/>
  </cacheSource>
  <cacheFields count="16">
    <cacheField name="FishID" numFmtId="0">
      <sharedItems/>
    </cacheField>
    <cacheField name="Species" numFmtId="0">
      <sharedItems/>
    </cacheField>
    <cacheField name="Date" numFmtId="164">
      <sharedItems containsSemiMixedTypes="0" containsNonDate="0" containsDate="1" containsString="0" minDate="2012-04-18T00:00:00" maxDate="2024-11-09T00:00:00"/>
    </cacheField>
    <cacheField name="Season" numFmtId="1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TL" numFmtId="0">
      <sharedItems containsSemiMixedTypes="0" containsString="0" containsNumber="1" containsInteger="1" minValue="126" maxValue="410"/>
    </cacheField>
    <cacheField name="FL" numFmtId="0">
      <sharedItems containsString="0" containsBlank="1" containsNumber="1" minValue="116" maxValue="390"/>
    </cacheField>
    <cacheField name="Mass" numFmtId="0">
      <sharedItems containsSemiMixedTypes="0" containsString="0" containsNumber="1" minValue="39.5" maxValue="1464.9"/>
    </cacheField>
    <cacheField name="Sex" numFmtId="0">
      <sharedItems containsBlank="1" count="5">
        <s v="F"/>
        <s v="M"/>
        <s v="H"/>
        <s v="J"/>
        <m/>
      </sharedItems>
    </cacheField>
    <cacheField name="GS" numFmtId="0">
      <sharedItems containsBlank="1" containsMixedTypes="1" containsNumber="1" containsInteger="1" minValue="1" maxValue="7" count="10">
        <n v="4"/>
        <n v="3"/>
        <n v="5"/>
        <n v="6"/>
        <n v="2"/>
        <n v="1"/>
        <s v="M3, F2"/>
        <n v="7"/>
        <s v="-"/>
        <m/>
      </sharedItems>
    </cacheField>
    <cacheField name="GW" numFmtId="0">
      <sharedItems containsMixedTypes="1" containsNumber="1" minValue="0" maxValue="109.4"/>
    </cacheField>
    <cacheField name="Fat" numFmtId="0">
      <sharedItems containsString="0" containsBlank="1" containsNumber="1" containsInteger="1" minValue="0" maxValue="3" count="5">
        <n v="0"/>
        <n v="2"/>
        <n v="1"/>
        <m/>
        <n v="3"/>
      </sharedItems>
    </cacheField>
    <cacheField name="GSI" numFmtId="0">
      <sharedItems containsMixedTypes="1" containsNumber="1" minValue="0" maxValue="0.13368983957219252"/>
    </cacheField>
    <cacheField name="ln(TL)" numFmtId="0">
      <sharedItems containsSemiMixedTypes="0" containsString="0" containsNumber="1" minValue="4.836281906951478" maxValue="6.0161571596983539"/>
    </cacheField>
    <cacheField name="ln(Mass)" numFmtId="0">
      <sharedItems containsSemiMixedTypes="0" containsString="0" containsNumber="1" minValue="3.6763006719070761" maxValue="7.2895422597357244"/>
    </cacheField>
    <cacheField name="Predicted mass" numFmtId="166">
      <sharedItems containsSemiMixedTypes="0" containsString="0" containsNumber="1" minValue="42.940422566277427" maxValue="1289.3194149211408"/>
    </cacheField>
    <cacheField name="leCren K" numFmtId="0">
      <sharedItems containsSemiMixedTypes="0" containsString="0" containsNumber="1" minValue="0.69699639916112499" maxValue="1.48422760904245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lin Attwood" refreshedDate="45891.883947453702" createdVersion="8" refreshedVersion="8" minRefreshableVersion="3" recordCount="582" xr:uid="{648331D3-36F3-4DD2-B12F-F17B0D31F6B3}">
  <cacheSource type="worksheet">
    <worksheetSource ref="A1:N583" sheet="P.blochii"/>
  </cacheSource>
  <cacheFields count="14">
    <cacheField name="FishID" numFmtId="0">
      <sharedItems/>
    </cacheField>
    <cacheField name="Species" numFmtId="0">
      <sharedItems/>
    </cacheField>
    <cacheField name="Date" numFmtId="164">
      <sharedItems containsSemiMixedTypes="0" containsNonDate="0" containsDate="1" containsString="0" minDate="2012-04-18T00:00:00" maxDate="2025-08-13T00:00:00"/>
    </cacheField>
    <cacheField name="Season" numFmtId="1">
      <sharedItems containsSemiMixedTypes="0" containsString="0" containsNumber="1" containsInteger="1" minValue="1" maxValue="4"/>
    </cacheField>
    <cacheField name="TL" numFmtId="0">
      <sharedItems containsSemiMixedTypes="0" containsString="0" containsNumber="1" containsInteger="1" minValue="126" maxValue="410"/>
    </cacheField>
    <cacheField name="FL" numFmtId="0">
      <sharedItems containsString="0" containsBlank="1" containsNumber="1" minValue="10" maxValue="390"/>
    </cacheField>
    <cacheField name="Mass" numFmtId="0">
      <sharedItems containsSemiMixedTypes="0" containsString="0" containsNumber="1" minValue="39.5" maxValue="1464.9"/>
    </cacheField>
    <cacheField name="Sex" numFmtId="0">
      <sharedItems containsBlank="1" count="6">
        <s v="F"/>
        <s v="M"/>
        <s v="H"/>
        <s v="J"/>
        <m/>
        <s v="I"/>
      </sharedItems>
    </cacheField>
    <cacheField name="GS" numFmtId="0">
      <sharedItems containsBlank="1" containsMixedTypes="1" containsNumber="1" containsInteger="1" minValue="1" maxValue="7" count="10">
        <n v="4"/>
        <n v="3"/>
        <n v="5"/>
        <n v="6"/>
        <n v="2"/>
        <n v="1"/>
        <s v="M3, F2"/>
        <n v="7"/>
        <s v="-"/>
        <m/>
      </sharedItems>
    </cacheField>
    <cacheField name="GW" numFmtId="0">
      <sharedItems containsMixedTypes="1" containsNumber="1" minValue="0" maxValue="109.4"/>
    </cacheField>
    <cacheField name="Fat" numFmtId="0">
      <sharedItems containsString="0" containsBlank="1" containsNumber="1" containsInteger="1" minValue="0" maxValue="3"/>
    </cacheField>
    <cacheField name="GSI" numFmtId="166">
      <sharedItems containsMixedTypes="1" containsNumber="1" minValue="0" maxValue="0.13368983957219252"/>
    </cacheField>
    <cacheField name="ln(TL)" numFmtId="0">
      <sharedItems containsSemiMixedTypes="0" containsString="0" containsNumber="1" minValue="4.836281906951478" maxValue="6.0161571596983539"/>
    </cacheField>
    <cacheField name="ln(Mass)" numFmtId="0">
      <sharedItems containsSemiMixedTypes="0" containsString="0" containsNumber="1" minValue="3.6763006719070761" maxValue="7.28954225973572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7">
  <r>
    <s v="MR013"/>
    <s v="P. blochii"/>
    <d v="2012-07-15T00:00:00"/>
    <x v="0"/>
    <n v="213"/>
    <n v="192"/>
    <n v="183.9"/>
    <x v="0"/>
    <x v="0"/>
    <n v="9.9"/>
    <x v="0"/>
    <n v="5.6896551724137934E-2"/>
    <n v="5.3612921657094255"/>
    <n v="5.2143921316102757"/>
    <n v="195.12295926303747"/>
    <n v="0.9424826309244918"/>
  </r>
  <r>
    <s v="MR014"/>
    <s v="P. blochii"/>
    <d v="2012-07-15T00:00:00"/>
    <x v="0"/>
    <n v="212"/>
    <n v="196"/>
    <n v="186.8"/>
    <x v="0"/>
    <x v="0"/>
    <n v="9.1"/>
    <x v="1"/>
    <n v="5.1209904333145748E-2"/>
    <n v="5.3565862746720123"/>
    <n v="5.2300385257947424"/>
    <n v="192.49322121711643"/>
    <n v="0.97042378333575219"/>
  </r>
  <r>
    <s v="MR015"/>
    <s v="P. blochii"/>
    <d v="2012-07-15T00:00:00"/>
    <x v="0"/>
    <n v="205"/>
    <n v="194"/>
    <n v="173"/>
    <x v="0"/>
    <x v="0"/>
    <n v="9.4"/>
    <x v="2"/>
    <n v="5.7457212713936431E-2"/>
    <n v="5.3230099791384085"/>
    <n v="5.1532915944977793"/>
    <n v="174.73087602890504"/>
    <n v="0.99009404595087869"/>
  </r>
  <r>
    <s v="MR016"/>
    <s v="P. blochii"/>
    <d v="2012-07-15T00:00:00"/>
    <x v="0"/>
    <n v="247"/>
    <n v="227"/>
    <n v="320"/>
    <x v="0"/>
    <x v="1"/>
    <n v="21"/>
    <x v="0"/>
    <n v="7.0234113712374577E-2"/>
    <n v="5.5093883366279774"/>
    <n v="5.768320995793772"/>
    <n v="299.0619973383607"/>
    <n v="1.0700122477880394"/>
  </r>
  <r>
    <s v="MR017"/>
    <s v="P. blochii"/>
    <d v="2012-07-15T00:00:00"/>
    <x v="0"/>
    <n v="256"/>
    <n v="240"/>
    <n v="387"/>
    <x v="0"/>
    <x v="0"/>
    <n v="35"/>
    <x v="2"/>
    <n v="9.9431818181818177E-2"/>
    <n v="5.5451774444795623"/>
    <n v="5.9584246930297819"/>
    <n v="331.57211610708919"/>
    <n v="1.1671669033683432"/>
  </r>
  <r>
    <s v="MR022"/>
    <s v="P. blochii"/>
    <d v="2013-07-01T00:00:00"/>
    <x v="0"/>
    <n v="211"/>
    <n v="198"/>
    <n v="203.6"/>
    <x v="0"/>
    <x v="1"/>
    <n v="12"/>
    <x v="1"/>
    <n v="6.2630480167014613E-2"/>
    <n v="5.3518581334760666"/>
    <n v="5.3161572846763674"/>
    <n v="189.88674224061299"/>
    <n v="1.0722180895705209"/>
  </r>
  <r>
    <s v="MR023"/>
    <s v="P. blochii"/>
    <d v="2012-06-01T00:00:00"/>
    <x v="1"/>
    <n v="250"/>
    <n v="221"/>
    <n v="327.39999999999998"/>
    <x v="0"/>
    <x v="0"/>
    <n v="28.5"/>
    <x v="0"/>
    <n v="9.534961525593845E-2"/>
    <n v="5.521460917862246"/>
    <n v="5.7911826649370344"/>
    <n v="309.65569558397874"/>
    <n v="1.057303336153909"/>
  </r>
  <r>
    <s v="MR024"/>
    <s v="P. blochii"/>
    <d v="2012-06-01T00:00:00"/>
    <x v="1"/>
    <n v="209"/>
    <n v="190"/>
    <n v="183.4"/>
    <x v="0"/>
    <x v="0"/>
    <n v="9.8000000000000007"/>
    <x v="0"/>
    <n v="5.6451612903225812E-2"/>
    <n v="5.3423342519648109"/>
    <n v="5.2116695598223641"/>
    <n v="184.74317365346289"/>
    <n v="0.9927295086097071"/>
  </r>
  <r>
    <s v="MR025"/>
    <s v="P. blochii"/>
    <d v="2012-07-18T00:00:00"/>
    <x v="0"/>
    <n v="257"/>
    <n v="232"/>
    <n v="293"/>
    <x v="0"/>
    <x v="2"/>
    <n v="10.3"/>
    <x v="0"/>
    <n v="3.6434382737884685E-2"/>
    <n v="5.5490760848952201"/>
    <n v="5.6801726090170677"/>
    <n v="335.32046390332602"/>
    <n v="0.87379098963811785"/>
  </r>
  <r>
    <s v="MR026"/>
    <s v="P. blochii"/>
    <d v="2012-07-18T00:00:00"/>
    <x v="0"/>
    <n v="215"/>
    <n v="198"/>
    <n v="187"/>
    <x v="0"/>
    <x v="0"/>
    <n v="4.2"/>
    <x v="0"/>
    <n v="2.2975929978118162E-2"/>
    <n v="5.3706380281276624"/>
    <n v="5.2311086168545868"/>
    <n v="200.45260008568741"/>
    <n v="0.93288887208279248"/>
  </r>
  <r>
    <s v="MR027"/>
    <s v="P. blochii"/>
    <d v="2012-06-24T00:00:00"/>
    <x v="1"/>
    <n v="291"/>
    <n v="262"/>
    <n v="556.4"/>
    <x v="0"/>
    <x v="0"/>
    <n v="30.3"/>
    <x v="1"/>
    <n v="5.7593613381486407E-2"/>
    <n v="5.6733232671714928"/>
    <n v="6.3214874600492879"/>
    <n v="479.78659559752077"/>
    <n v="1.159682252704592"/>
  </r>
  <r>
    <s v="MR028"/>
    <s v="P. blochii"/>
    <d v="2012-06-24T00:00:00"/>
    <x v="1"/>
    <n v="246"/>
    <n v="223"/>
    <n v="309.10000000000002"/>
    <x v="0"/>
    <x v="2"/>
    <n v="24.6"/>
    <x v="0"/>
    <n v="8.6467486818980671E-2"/>
    <n v="5.5053315359323625"/>
    <n v="5.7336648491380711"/>
    <n v="295.58413246008666"/>
    <n v="1.0457259577076197"/>
  </r>
  <r>
    <s v="MR029"/>
    <s v="P. blochii"/>
    <d v="2012-06-24T00:00:00"/>
    <x v="1"/>
    <n v="232"/>
    <n v="210"/>
    <n v="257"/>
    <x v="0"/>
    <x v="3"/>
    <n v="23.1"/>
    <x v="2"/>
    <n v="9.8760153911928175E-2"/>
    <n v="5.4467373716663099"/>
    <n v="5.5490760848952201"/>
    <n v="249.63576233205887"/>
    <n v="1.0294999306154917"/>
  </r>
  <r>
    <s v="MR030"/>
    <s v="P. blochii"/>
    <d v="2012-07-29T00:00:00"/>
    <x v="0"/>
    <n v="220"/>
    <n v="195"/>
    <n v="217"/>
    <x v="0"/>
    <x v="3"/>
    <n v="14.5"/>
    <x v="0"/>
    <n v="7.160493827160494E-2"/>
    <n v="5.393627546352362"/>
    <n v="5.3798973535404597"/>
    <n v="214.19051196879525"/>
    <n v="1.0131167716318548"/>
  </r>
  <r>
    <s v="MR031"/>
    <s v="P. blochii"/>
    <d v="2012-07-29T00:00:00"/>
    <x v="0"/>
    <n v="221"/>
    <n v="198"/>
    <n v="219"/>
    <x v="0"/>
    <x v="2"/>
    <n v="15.4"/>
    <x v="0"/>
    <n v="7.5638506876227904E-2"/>
    <n v="5.3981627015177525"/>
    <n v="5.389071729816501"/>
    <n v="217.00980633065038"/>
    <n v="1.0091709849568606"/>
  </r>
  <r>
    <s v="MR032"/>
    <s v="P. blochii"/>
    <d v="2012-07-29T00:00:00"/>
    <x v="0"/>
    <n v="215"/>
    <n v="195"/>
    <n v="218"/>
    <x v="0"/>
    <x v="3"/>
    <n v="18.100000000000001"/>
    <x v="0"/>
    <n v="9.0545272636318161E-2"/>
    <n v="5.3706380281276624"/>
    <n v="5.3844950627890888"/>
    <n v="200.45260008568741"/>
    <n v="1.0875388990056083"/>
  </r>
  <r>
    <s v="MR033"/>
    <s v="P. blochii"/>
    <d v="2012-07-29T00:00:00"/>
    <x v="0"/>
    <n v="240"/>
    <n v="220"/>
    <n v="286"/>
    <x v="1"/>
    <x v="3"/>
    <n v="21.2"/>
    <x v="0"/>
    <n v="8.0060422960725075E-2"/>
    <n v="5.4806389233419912"/>
    <n v="5.6559918108198524"/>
    <n v="275.27063723462055"/>
    <n v="1.0389775054585082"/>
  </r>
  <r>
    <s v="MR034"/>
    <s v="P. blochii"/>
    <d v="2012-07-18T00:00:00"/>
    <x v="0"/>
    <n v="249"/>
    <n v="226"/>
    <n v="284"/>
    <x v="1"/>
    <x v="4"/>
    <n v="0.6"/>
    <x v="0"/>
    <n v="2.1171489061397319E-3"/>
    <n v="5.5174528964647074"/>
    <n v="5.6489742381612063"/>
    <n v="306.09768373608546"/>
    <n v="0.92780839284253491"/>
  </r>
  <r>
    <s v="MR035"/>
    <s v="P. blochii"/>
    <d v="2012-07-18T00:00:00"/>
    <x v="0"/>
    <n v="258"/>
    <n v="237"/>
    <n v="348"/>
    <x v="0"/>
    <x v="0"/>
    <n v="19.3"/>
    <x v="0"/>
    <n v="5.8716154548220267E-2"/>
    <n v="5.5529595849216173"/>
    <n v="5.8522024797744745"/>
    <n v="339.0963820606903"/>
    <n v="1.0262568945301107"/>
  </r>
  <r>
    <s v="MR036"/>
    <s v="P. blochii"/>
    <d v="2012-07-18T00:00:00"/>
    <x v="0"/>
    <n v="273"/>
    <n v="249"/>
    <n v="408"/>
    <x v="0"/>
    <x v="1"/>
    <n v="15"/>
    <x v="2"/>
    <n v="3.8167938931297711E-2"/>
    <n v="5.6094717951849598"/>
    <n v="6.0112671744041615"/>
    <n v="399.10792563575109"/>
    <n v="1.0222798741720913"/>
  </r>
  <r>
    <s v="MR037"/>
    <s v="P. blochii"/>
    <d v="2016-03-19T00:00:00"/>
    <x v="2"/>
    <n v="244"/>
    <n v="220"/>
    <n v="320"/>
    <x v="0"/>
    <x v="2"/>
    <n v="17.2"/>
    <x v="2"/>
    <n v="5.6803170409511224E-2"/>
    <n v="5.4971682252932021"/>
    <n v="5.768320995793772"/>
    <n v="288.70788318683475"/>
    <n v="1.10838677651526"/>
  </r>
  <r>
    <s v="MR038"/>
    <s v="P. blochii"/>
    <d v="2012-07-15T00:00:00"/>
    <x v="0"/>
    <n v="205"/>
    <n v="185"/>
    <n v="182"/>
    <x v="0"/>
    <x v="4"/>
    <n v="5.4"/>
    <x v="2"/>
    <n v="3.0577576443941112E-2"/>
    <n v="5.3230099791384085"/>
    <n v="5.2040066870767951"/>
    <n v="174.73087602890504"/>
    <n v="1.0416018286882076"/>
  </r>
  <r>
    <s v="MR039"/>
    <s v="P. blochii"/>
    <d v="2012-04-18T00:00:00"/>
    <x v="1"/>
    <n v="215"/>
    <n v="200"/>
    <n v="198"/>
    <x v="0"/>
    <x v="0"/>
    <n v="11.3"/>
    <x v="0"/>
    <n v="6.0524906266738093E-2"/>
    <n v="5.3706380281276624"/>
    <n v="5.2882670306945352"/>
    <n v="200.45260008568741"/>
    <n v="0.9877646880876626"/>
  </r>
  <r>
    <s v="MR040"/>
    <s v="P. blochii"/>
    <d v="2012-04-18T00:00:00"/>
    <x v="1"/>
    <n v="210"/>
    <n v="190"/>
    <n v="202"/>
    <x v="0"/>
    <x v="2"/>
    <n v="19.399999999999999"/>
    <x v="0"/>
    <n v="0.10624315443592551"/>
    <n v="5.3471075307174685"/>
    <n v="5.3082676974012051"/>
    <n v="187.30342538632442"/>
    <n v="1.0784639927612805"/>
  </r>
  <r>
    <s v="MR045"/>
    <s v="P. blochii"/>
    <d v="2012-07-29T00:00:00"/>
    <x v="0"/>
    <n v="226"/>
    <n v="204"/>
    <n v="223"/>
    <x v="1"/>
    <x v="1"/>
    <n v="1.1000000000000001"/>
    <x v="0"/>
    <n v="4.9571879224876072E-3"/>
    <n v="5.4205349992722862"/>
    <n v="5.4071717714601188"/>
    <n v="231.47014433663401"/>
    <n v="0.96340718427895555"/>
  </r>
  <r>
    <s v="MR046"/>
    <s v="P. blochii"/>
    <d v="2012-07-29T00:00:00"/>
    <x v="0"/>
    <n v="233"/>
    <n v="211"/>
    <n v="226"/>
    <x v="2"/>
    <x v="4"/>
    <n v="2"/>
    <x v="0"/>
    <n v="8.9285714285714281E-3"/>
    <n v="5.4510384535657002"/>
    <n v="5.4205349992722862"/>
    <n v="252.75096056221884"/>
    <n v="0.89416079565943474"/>
  </r>
  <r>
    <s v="MR049"/>
    <s v="P. blochii"/>
    <d v="2012-07-15T00:00:00"/>
    <x v="0"/>
    <n v="210"/>
    <n v="189"/>
    <n v="186"/>
    <x v="0"/>
    <x v="0"/>
    <n v="9.6999999999999993"/>
    <x v="0"/>
    <n v="5.5019852524106627E-2"/>
    <n v="5.3471075307174685"/>
    <n v="5.2257466737132017"/>
    <n v="187.30342538632442"/>
    <n v="0.99304110224553543"/>
  </r>
  <r>
    <s v="MR052"/>
    <s v="P. blochii"/>
    <d v="2012-08-12T00:00:00"/>
    <x v="0"/>
    <n v="195"/>
    <n v="176"/>
    <n v="123.6"/>
    <x v="0"/>
    <x v="4"/>
    <n v="1.4"/>
    <x v="0"/>
    <n v="1.1456628477905075E-2"/>
    <n v="5.2729995585637468"/>
    <n v="4.8170505450235908"/>
    <n v="151.26703666639025"/>
    <n v="0.81709804544258946"/>
  </r>
  <r>
    <s v="MR055"/>
    <s v="P. blochii"/>
    <d v="2013-07-01T00:00:00"/>
    <x v="0"/>
    <n v="248"/>
    <n v="227"/>
    <n v="306"/>
    <x v="0"/>
    <x v="2"/>
    <n v="19.5"/>
    <x v="0"/>
    <n v="6.8062827225130892E-2"/>
    <n v="5.5134287461649825"/>
    <n v="5.7235851019523807"/>
    <n v="302.56648270149668"/>
    <n v="1.0113479763781064"/>
  </r>
  <r>
    <s v="MR056"/>
    <s v="P. blochii"/>
    <d v="2012-09-15T00:00:00"/>
    <x v="0"/>
    <n v="245"/>
    <n v="223"/>
    <n v="245"/>
    <x v="1"/>
    <x v="5"/>
    <n v="0.4"/>
    <x v="0"/>
    <n v="1.6353229762878169E-3"/>
    <n v="5.5012582105447274"/>
    <n v="5.5012582105447274"/>
    <n v="292.13279283513953"/>
    <n v="0.83865969863322343"/>
  </r>
  <r>
    <s v="MR057"/>
    <s v="P. blochii"/>
    <d v="2012-08-26T00:00:00"/>
    <x v="0"/>
    <n v="245"/>
    <n v="223"/>
    <n v="273"/>
    <x v="0"/>
    <x v="2"/>
    <n v="12.5"/>
    <x v="0"/>
    <n v="4.7984644913627639E-2"/>
    <n v="5.5012582105447274"/>
    <n v="5.6094717951849598"/>
    <n v="292.13279283513953"/>
    <n v="0.93450652133416323"/>
  </r>
  <r>
    <s v="MR058"/>
    <s v="P. blochii"/>
    <d v="2012-09-15T00:00:00"/>
    <x v="0"/>
    <n v="232"/>
    <n v="210"/>
    <n v="230"/>
    <x v="0"/>
    <x v="0"/>
    <n v="8.1999999999999993"/>
    <x v="0"/>
    <n v="3.6970243462578892E-2"/>
    <n v="5.4467373716663099"/>
    <n v="5.4380793089231956"/>
    <n v="249.63576233205887"/>
    <n v="0.92134235035627665"/>
  </r>
  <r>
    <s v="MR059"/>
    <s v="P. blochii"/>
    <d v="2013-07-01T00:00:00"/>
    <x v="0"/>
    <n v="205"/>
    <n v="186"/>
    <n v="175.7"/>
    <x v="0"/>
    <x v="2"/>
    <n v="6.5"/>
    <x v="0"/>
    <n v="3.8416075650118203E-2"/>
    <n v="5.3230099791384085"/>
    <n v="5.168777995193051"/>
    <n v="174.73087602890504"/>
    <n v="1.0055463807720773"/>
  </r>
  <r>
    <s v="MR060"/>
    <s v="P. blochii"/>
    <d v="2013-07-01T00:00:00"/>
    <x v="0"/>
    <n v="211"/>
    <n v="195"/>
    <n v="208.9"/>
    <x v="0"/>
    <x v="3"/>
    <n v="13.3"/>
    <x v="0"/>
    <n v="6.7995910020449898E-2"/>
    <n v="5.3518581334760666"/>
    <n v="5.3418556685625198"/>
    <n v="189.88674224061299"/>
    <n v="1.1001294642007948"/>
  </r>
  <r>
    <s v="MR061"/>
    <s v="P. blochii"/>
    <d v="2012-07-28T00:00:00"/>
    <x v="0"/>
    <n v="238"/>
    <n v="215"/>
    <n v="245.2"/>
    <x v="0"/>
    <x v="0"/>
    <n v="8.8000000000000007"/>
    <x v="2"/>
    <n v="3.7225042301184438E-2"/>
    <n v="5.472270673671475"/>
    <n v="5.5020742040620565"/>
    <n v="268.7081135713492"/>
    <n v="0.91251431429104513"/>
  </r>
  <r>
    <s v="MR063"/>
    <s v="P. blochii"/>
    <d v="2012-08-12T00:00:00"/>
    <x v="0"/>
    <n v="219"/>
    <n v="197"/>
    <n v="200"/>
    <x v="1"/>
    <x v="0"/>
    <n v="6.3"/>
    <x v="0"/>
    <n v="3.2524522457408361E-2"/>
    <n v="5.389071729816501"/>
    <n v="5.2983173665480363"/>
    <n v="211.39525035810203"/>
    <n v="0.94609505020193896"/>
  </r>
  <r>
    <s v="MR064"/>
    <s v="P. blochii"/>
    <d v="2012-09-12T00:00:00"/>
    <x v="0"/>
    <n v="231"/>
    <n v="207"/>
    <n v="245"/>
    <x v="0"/>
    <x v="2"/>
    <n v="13.4"/>
    <x v="0"/>
    <n v="5.7858376511226252E-2"/>
    <n v="5.4424177105217932"/>
    <n v="5.5012582105447274"/>
    <n v="246.54575127704169"/>
    <n v="0.99373036741036869"/>
  </r>
  <r>
    <s v="MR065"/>
    <s v="P. blochii"/>
    <d v="2012-08-13T00:00:00"/>
    <x v="0"/>
    <n v="220"/>
    <n v="201"/>
    <n v="211"/>
    <x v="0"/>
    <x v="5"/>
    <n v="3.2"/>
    <x v="0"/>
    <n v="1.5399422521655439E-2"/>
    <n v="5.393627546352362"/>
    <n v="5.3518581334760666"/>
    <n v="214.19051196879525"/>
    <n v="0.98510432633327816"/>
  </r>
  <r>
    <s v="MR067"/>
    <s v="P. blochii"/>
    <d v="2013-09-15T00:00:00"/>
    <x v="0"/>
    <n v="207"/>
    <n v="180"/>
    <n v="178"/>
    <x v="0"/>
    <x v="0"/>
    <n v="7.7"/>
    <x v="2"/>
    <n v="4.5214327657075747E-2"/>
    <n v="5.3327187932653688"/>
    <n v="5.181783550292085"/>
    <n v="179.69147727921433"/>
    <n v="0.99058676958514835"/>
  </r>
  <r>
    <s v="MR068"/>
    <s v="P. blochii"/>
    <d v="2013-09-15T00:00:00"/>
    <x v="0"/>
    <n v="224"/>
    <n v="201"/>
    <n v="216.2"/>
    <x v="0"/>
    <x v="2"/>
    <n v="10.1"/>
    <x v="0"/>
    <n v="4.9005337214944204E-2"/>
    <n v="5.4116460518550396"/>
    <n v="5.3762039052051076"/>
    <n v="225.61285044185979"/>
    <n v="0.95827874864652052"/>
  </r>
  <r>
    <s v="MR069"/>
    <s v="P. blochii"/>
    <d v="2012-08-26T00:00:00"/>
    <x v="0"/>
    <n v="226"/>
    <n v="206"/>
    <n v="221"/>
    <x v="0"/>
    <x v="2"/>
    <n v="11.2"/>
    <x v="0"/>
    <n v="5.3384175405147755E-2"/>
    <n v="5.4205349992722862"/>
    <n v="5.3981627015177525"/>
    <n v="231.47014433663401"/>
    <n v="0.95476676110156578"/>
  </r>
  <r>
    <s v="MR070"/>
    <s v="P. blochii"/>
    <d v="2013-09-15T00:00:00"/>
    <x v="0"/>
    <n v="218"/>
    <n v="198"/>
    <n v="217"/>
    <x v="0"/>
    <x v="3"/>
    <n v="12.9"/>
    <x v="0"/>
    <n v="6.320431161195493E-2"/>
    <n v="5.3844950627890888"/>
    <n v="5.3798973535404597"/>
    <n v="208.62392497014221"/>
    <n v="1.0401491584968336"/>
  </r>
  <r>
    <s v="MR071"/>
    <s v="P. blochii"/>
    <d v="2012-08-26T00:00:00"/>
    <x v="0"/>
    <n v="220"/>
    <n v="195"/>
    <n v="187"/>
    <x v="0"/>
    <x v="4"/>
    <n v="5.5"/>
    <x v="0"/>
    <n v="3.0303030303030304E-2"/>
    <n v="5.393627546352362"/>
    <n v="5.2311086168545868"/>
    <n v="214.19051196879525"/>
    <n v="0.87305454513897163"/>
  </r>
  <r>
    <s v="MR072"/>
    <s v="P. blochii"/>
    <d v="2013-07-24T00:00:00"/>
    <x v="0"/>
    <n v="232"/>
    <n v="208"/>
    <n v="209.6"/>
    <x v="0"/>
    <x v="2"/>
    <n v="11.3"/>
    <x v="0"/>
    <n v="5.6984367120524466E-2"/>
    <n v="5.4467373716663099"/>
    <n v="5.3452009524468869"/>
    <n v="249.63576233205887"/>
    <n v="0.83962328971598077"/>
  </r>
  <r>
    <s v="MR157"/>
    <s v="P. blochii"/>
    <d v="2013-07-24T00:00:00"/>
    <x v="0"/>
    <n v="234"/>
    <n v="218"/>
    <n v="227.1"/>
    <x v="0"/>
    <x v="0"/>
    <n v="9.3000000000000007"/>
    <x v="2"/>
    <n v="4.2699724517906344E-2"/>
    <n v="5.4553211153577017"/>
    <n v="5.4253904491115126"/>
    <n v="255.89144185053246"/>
    <n v="0.88748571799697118"/>
  </r>
  <r>
    <s v="MR158"/>
    <s v="P. blochii"/>
    <d v="2013-07-24T00:00:00"/>
    <x v="0"/>
    <n v="241"/>
    <n v="224"/>
    <n v="287.2"/>
    <x v="1"/>
    <x v="0"/>
    <n v="20.7"/>
    <x v="1"/>
    <n v="7.7673545966228885E-2"/>
    <n v="5.4847969334906548"/>
    <n v="5.6601788371740689"/>
    <n v="278.59078065338855"/>
    <n v="1.0309027431791531"/>
  </r>
  <r>
    <s v="MR160"/>
    <s v="P. blochii"/>
    <d v="2013-07-24T00:00:00"/>
    <x v="0"/>
    <n v="171"/>
    <n v="156"/>
    <n v="103.2"/>
    <x v="1"/>
    <x v="5"/>
    <n v="0.1"/>
    <x v="2"/>
    <n v="9.6993210475266732E-4"/>
    <n v="5.1416635565026603"/>
    <n v="4.6366688530474622"/>
    <n v="103.58080931225892"/>
    <n v="0.99632355341894541"/>
  </r>
  <r>
    <s v="MR162"/>
    <s v="P. blochii"/>
    <d v="2012-07-29T00:00:00"/>
    <x v="0"/>
    <n v="229"/>
    <n v="209"/>
    <n v="257.89999999999998"/>
    <x v="0"/>
    <x v="2"/>
    <n v="10"/>
    <x v="0"/>
    <n v="4.033884630899557E-2"/>
    <n v="5.43372200355424"/>
    <n v="5.5525719128872986"/>
    <n v="240.44090691916568"/>
    <n v="1.0726128232693113"/>
  </r>
  <r>
    <s v="MR163"/>
    <s v="P. blochii"/>
    <d v="2013-07-24T00:00:00"/>
    <x v="0"/>
    <n v="273"/>
    <n v="246"/>
    <n v="429.5"/>
    <x v="0"/>
    <x v="2"/>
    <n v="37.700000000000003"/>
    <x v="0"/>
    <n v="9.6222562531904032E-2"/>
    <n v="5.6094717951849598"/>
    <n v="6.0626217414243104"/>
    <n v="399.10792563575109"/>
    <n v="1.0761500146002776"/>
  </r>
  <r>
    <s v="MR164"/>
    <s v="P. blochii"/>
    <d v="2013-07-16T00:00:00"/>
    <x v="0"/>
    <n v="237"/>
    <n v="211"/>
    <n v="247.1"/>
    <x v="0"/>
    <x v="1"/>
    <n v="5.5"/>
    <x v="2"/>
    <n v="2.2764900662251657E-2"/>
    <n v="5.4680601411351315"/>
    <n v="5.5097931129945641"/>
    <n v="265.46554217630569"/>
    <n v="0.93081760432731253"/>
  </r>
  <r>
    <s v="MR165"/>
    <s v="P. blochii"/>
    <d v="2013-07-16T00:00:00"/>
    <x v="0"/>
    <n v="225"/>
    <n v="200"/>
    <n v="227"/>
    <x v="1"/>
    <x v="0"/>
    <n v="4.9000000000000004"/>
    <x v="2"/>
    <n v="2.206213417379559E-2"/>
    <n v="5.4161004022044201"/>
    <n v="5.4249500174814029"/>
    <n v="228.52924007361699"/>
    <n v="0.99330833956685649"/>
  </r>
  <r>
    <s v="MR166"/>
    <s v="P. blochii"/>
    <d v="2013-07-16T00:00:00"/>
    <x v="0"/>
    <n v="210"/>
    <n v="189"/>
    <n v="200.6"/>
    <x v="1"/>
    <x v="1"/>
    <n v="2.2000000000000002"/>
    <x v="2"/>
    <n v="1.1088709677419355E-2"/>
    <n v="5.3471075307174685"/>
    <n v="5.3013128755278354"/>
    <n v="187.30342538632442"/>
    <n v="1.0709894898411527"/>
  </r>
  <r>
    <s v="MR167"/>
    <s v="P. blochii"/>
    <d v="2013-07-16T00:00:00"/>
    <x v="0"/>
    <n v="264"/>
    <n v="238"/>
    <n v="363.8"/>
    <x v="1"/>
    <x v="3"/>
    <n v="38.700000000000003"/>
    <x v="2"/>
    <n v="0.11904029529375577"/>
    <n v="5.575949103146316"/>
    <n v="5.8966042660840223"/>
    <n v="362.33617149040566"/>
    <n v="1.0040399734411642"/>
  </r>
  <r>
    <s v="MR168"/>
    <s v="P. blochii"/>
    <d v="2013-07-16T00:00:00"/>
    <x v="0"/>
    <n v="260"/>
    <n v="245"/>
    <n v="407.8"/>
    <x v="0"/>
    <x v="2"/>
    <n v="34"/>
    <x v="2"/>
    <n v="9.0957731407169604E-2"/>
    <n v="5.5606816310155276"/>
    <n v="6.0107768581403551"/>
    <n v="346.73130840801252"/>
    <n v="1.1761268455172946"/>
  </r>
  <r>
    <s v="MR169"/>
    <s v="P. blochii"/>
    <d v="2013-07-16T00:00:00"/>
    <x v="0"/>
    <n v="240"/>
    <n v="225"/>
    <n v="267"/>
    <x v="0"/>
    <x v="2"/>
    <n v="12"/>
    <x v="0"/>
    <n v="4.7058823529411764E-2"/>
    <n v="5.4806389233419912"/>
    <n v="5.5872486584002496"/>
    <n v="275.27063723462055"/>
    <n v="0.9699545243266493"/>
  </r>
  <r>
    <s v="MR170"/>
    <s v="P. blochii"/>
    <d v="2013-07-16T00:00:00"/>
    <x v="0"/>
    <n v="236"/>
    <n v="211"/>
    <n v="250.4"/>
    <x v="0"/>
    <x v="2"/>
    <n v="13.3"/>
    <x v="2"/>
    <n v="5.6094474905103338E-2"/>
    <n v="5.4638318050256105"/>
    <n v="5.5230596392259432"/>
    <n v="262.24863689403401"/>
    <n v="0.95481907157129808"/>
  </r>
  <r>
    <s v="MR171"/>
    <s v="P. blochii"/>
    <d v="2013-07-16T00:00:00"/>
    <x v="0"/>
    <n v="202"/>
    <n v="186"/>
    <n v="190.1"/>
    <x v="1"/>
    <x v="0"/>
    <n v="7.6"/>
    <x v="2"/>
    <n v="4.1643835616438356E-2"/>
    <n v="5.3082676974012051"/>
    <n v="5.2475502494943838"/>
    <n v="167.45907547073429"/>
    <n v="1.1352027321637908"/>
  </r>
  <r>
    <s v="MR172"/>
    <s v="P. blochii"/>
    <d v="2013-07-01T00:00:00"/>
    <x v="0"/>
    <n v="209"/>
    <n v="195"/>
    <n v="188.4"/>
    <x v="0"/>
    <x v="0"/>
    <n v="2.6"/>
    <x v="1"/>
    <n v="1.3993541442411194E-2"/>
    <n v="5.3423342519648109"/>
    <n v="5.2385673621422626"/>
    <n v="184.74317365346289"/>
    <n v="1.0197941080810733"/>
  </r>
  <r>
    <s v="MR173"/>
    <s v="P. blochii"/>
    <d v="2013-07-01T00:00:00"/>
    <x v="0"/>
    <n v="232"/>
    <n v="210"/>
    <n v="225.4"/>
    <x v="0"/>
    <x v="0"/>
    <n v="8.3000000000000007"/>
    <x v="1"/>
    <n v="3.8231229847996318E-2"/>
    <n v="5.4467373716663099"/>
    <n v="5.4178766016056761"/>
    <n v="249.63576233205887"/>
    <n v="0.90291550334915116"/>
  </r>
  <r>
    <s v="MR174"/>
    <s v="P. blochii"/>
    <d v="2013-07-01T00:00:00"/>
    <x v="0"/>
    <n v="189"/>
    <n v="166"/>
    <n v="150.19999999999999"/>
    <x v="0"/>
    <x v="1"/>
    <n v="3.2"/>
    <x v="2"/>
    <n v="2.1768707482993199E-2"/>
    <n v="5.2417470150596426"/>
    <n v="5.0119677393300339"/>
    <n v="138.23194624596724"/>
    <n v="1.0865795069740032"/>
  </r>
  <r>
    <s v="MR175"/>
    <s v="P. blochii"/>
    <d v="2013-05-29T00:00:00"/>
    <x v="1"/>
    <n v="248"/>
    <n v="238"/>
    <n v="401.5"/>
    <x v="0"/>
    <x v="2"/>
    <n v="23.4"/>
    <x v="2"/>
    <n v="6.1888389314996024E-2"/>
    <n v="5.5134287461649825"/>
    <n v="5.9952075333868162"/>
    <n v="302.56648270149668"/>
    <n v="1.326981086652973"/>
  </r>
  <r>
    <s v="MR176"/>
    <s v="P. blochii"/>
    <d v="2013-05-29T00:00:00"/>
    <x v="1"/>
    <n v="225"/>
    <n v="205"/>
    <n v="255"/>
    <x v="0"/>
    <x v="0"/>
    <n v="10.9"/>
    <x v="2"/>
    <n v="4.4653830397378129E-2"/>
    <n v="5.4161004022044201"/>
    <n v="5.5412635451584258"/>
    <n v="228.52924007361699"/>
    <n v="1.1158309541389797"/>
  </r>
  <r>
    <s v="MR177"/>
    <s v="P. blochii"/>
    <d v="2013-05-29T00:00:00"/>
    <x v="1"/>
    <n v="285"/>
    <n v="250"/>
    <n v="502.4"/>
    <x v="0"/>
    <x v="2"/>
    <n v="31.1"/>
    <x v="1"/>
    <n v="6.5987693613409726E-2"/>
    <n v="5.6524891802686508"/>
    <n v="6.2193966151539888"/>
    <n v="451.81298247656548"/>
    <n v="1.1119645063011405"/>
  </r>
  <r>
    <s v="MR178"/>
    <s v="P. blochii"/>
    <d v="2013-05-19T00:00:00"/>
    <x v="1"/>
    <n v="216"/>
    <n v="195"/>
    <n v="190.9"/>
    <x v="1"/>
    <x v="2"/>
    <n v="13.8"/>
    <x v="0"/>
    <n v="7.7922077922077934E-2"/>
    <n v="5.3752784076841653"/>
    <n v="5.251749730731702"/>
    <n v="203.15269649140885"/>
    <n v="0.9396872564183415"/>
  </r>
  <r>
    <s v="MR179"/>
    <s v="P. blochii"/>
    <d v="2013-05-29T00:00:00"/>
    <x v="1"/>
    <n v="220"/>
    <n v="200"/>
    <n v="234"/>
    <x v="0"/>
    <x v="2"/>
    <n v="12.6"/>
    <x v="2"/>
    <n v="5.6910569105691054E-2"/>
    <n v="5.393627546352362"/>
    <n v="5.4553211153577017"/>
    <n v="214.19051196879525"/>
    <n v="1.0924853666444887"/>
  </r>
  <r>
    <s v="MR180"/>
    <s v="P. blochii"/>
    <d v="2013-05-29T00:00:00"/>
    <x v="1"/>
    <n v="231"/>
    <n v="215"/>
    <n v="248.9"/>
    <x v="1"/>
    <x v="2"/>
    <n v="23.4"/>
    <x v="2"/>
    <n v="0.10376940133037693"/>
    <n v="5.4424177105217932"/>
    <n v="5.5170512093735464"/>
    <n v="246.54575127704169"/>
    <n v="1.0095489324426155"/>
  </r>
  <r>
    <s v="MR181"/>
    <s v="P. blochii"/>
    <d v="2013-09-13T00:00:00"/>
    <x v="0"/>
    <n v="252"/>
    <n v="235"/>
    <n v="339"/>
    <x v="1"/>
    <x v="0"/>
    <n v="12.2"/>
    <x v="2"/>
    <n v="3.7331701346389225E-2"/>
    <n v="5.5294290875114234"/>
    <n v="5.8260001073804499"/>
    <n v="316.8525320645719"/>
    <n v="1.069898346057448"/>
  </r>
  <r>
    <s v="MR182"/>
    <s v="P. blochii"/>
    <d v="2013-09-13T00:00:00"/>
    <x v="0"/>
    <n v="225"/>
    <n v="215"/>
    <n v="239"/>
    <x v="0"/>
    <x v="0"/>
    <n v="18.2"/>
    <x v="2"/>
    <n v="8.2427536231884049E-2"/>
    <n v="5.4161004022044201"/>
    <n v="5.476463551931511"/>
    <n v="228.52924007361699"/>
    <n v="1.0458180315263379"/>
  </r>
  <r>
    <s v="MR183"/>
    <s v="P. blochii"/>
    <d v="2013-08-26T00:00:00"/>
    <x v="0"/>
    <n v="219"/>
    <n v="200"/>
    <n v="196"/>
    <x v="0"/>
    <x v="2"/>
    <n v="7.5"/>
    <x v="0"/>
    <n v="3.9787798408488062E-2"/>
    <n v="5.389071729816501"/>
    <n v="5.2781146592305168"/>
    <n v="211.39525035810203"/>
    <n v="0.92717314919790017"/>
  </r>
  <r>
    <s v="MR184"/>
    <s v="P. blochii"/>
    <d v="2013-08-26T00:00:00"/>
    <x v="0"/>
    <n v="282"/>
    <n v="258"/>
    <n v="394"/>
    <x v="0"/>
    <x v="3"/>
    <n v="18.399999999999999"/>
    <x v="2"/>
    <n v="4.8988285410010643E-2"/>
    <n v="5.6419070709381138"/>
    <n v="5.9763509092979339"/>
    <n v="438.23524278515737"/>
    <n v="0.899060507995603"/>
  </r>
  <r>
    <s v="MR185"/>
    <s v="P. blochii"/>
    <d v="2013-08-26T00:00:00"/>
    <x v="0"/>
    <n v="235"/>
    <n v="210"/>
    <n v="287"/>
    <x v="0"/>
    <x v="3"/>
    <n v="11.1"/>
    <x v="0"/>
    <n v="4.0231968104385646E-2"/>
    <n v="5.4595855141441589"/>
    <n v="5.6594822157596214"/>
    <n v="259.05730203203751"/>
    <n v="1.1078630007677097"/>
  </r>
  <r>
    <s v="MR186"/>
    <s v="P. blochii"/>
    <d v="2013-08-26T00:00:00"/>
    <x v="0"/>
    <n v="245"/>
    <n v="223"/>
    <n v="270.89999999999998"/>
    <x v="0"/>
    <x v="2"/>
    <n v="17.5"/>
    <x v="0"/>
    <n v="6.9060773480662987E-2"/>
    <n v="5.5012582105447274"/>
    <n v="5.6017497490910495"/>
    <n v="292.13279283513953"/>
    <n v="0.92731800963159261"/>
  </r>
  <r>
    <s v="MR187"/>
    <s v="P. blochii"/>
    <d v="2013-09-13T00:00:00"/>
    <x v="0"/>
    <n v="256"/>
    <n v="235"/>
    <n v="319"/>
    <x v="1"/>
    <x v="0"/>
    <n v="9.3000000000000007"/>
    <x v="0"/>
    <n v="3.0029060381013887E-2"/>
    <n v="5.5451774444795623"/>
    <n v="5.7651911027848444"/>
    <n v="331.57211610708919"/>
    <n v="0.9620833131124068"/>
  </r>
  <r>
    <s v="MR188"/>
    <s v="P. blochii"/>
    <d v="2013-09-13T00:00:00"/>
    <x v="0"/>
    <n v="251"/>
    <n v="232"/>
    <n v="312"/>
    <x v="0"/>
    <x v="0"/>
    <n v="12.1"/>
    <x v="0"/>
    <n v="4.0346782260753583E-2"/>
    <n v="5.5254529391317835"/>
    <n v="5.7430031878094825"/>
    <n v="313.24061334248506"/>
    <n v="0.99603942372208099"/>
  </r>
  <r>
    <s v="MR189"/>
    <s v="P. blochii"/>
    <d v="2013-08-26T00:00:00"/>
    <x v="0"/>
    <n v="256"/>
    <n v="229"/>
    <n v="333.8"/>
    <x v="0"/>
    <x v="2"/>
    <n v="11.8"/>
    <x v="0"/>
    <n v="3.6645962732919257E-2"/>
    <n v="5.5451774444795623"/>
    <n v="5.8105420112277351"/>
    <n v="331.57211610708919"/>
    <n v="1.0067191533445812"/>
  </r>
  <r>
    <s v="MR190"/>
    <s v="P. blochii"/>
    <d v="2013-08-26T00:00:00"/>
    <x v="0"/>
    <n v="271"/>
    <n v="246"/>
    <n v="410.4"/>
    <x v="1"/>
    <x v="0"/>
    <n v="16.3"/>
    <x v="0"/>
    <n v="4.136006089824918E-2"/>
    <n v="5.602118820879701"/>
    <n v="6.0171322938565597"/>
    <n v="390.7352734223773"/>
    <n v="1.0503274925895043"/>
  </r>
  <r>
    <s v="MR191"/>
    <s v="P. blochii"/>
    <d v="2013-08-26T00:00:00"/>
    <x v="0"/>
    <n v="253"/>
    <n v="232"/>
    <n v="311"/>
    <x v="0"/>
    <x v="0"/>
    <n v="18.100000000000001"/>
    <x v="0"/>
    <n v="6.1795834755889394E-2"/>
    <n v="5.5333894887275203"/>
    <n v="5.7397929121792339"/>
    <n v="320.49154675906124"/>
    <n v="0.97038440840314333"/>
  </r>
  <r>
    <s v="MR192"/>
    <s v="P. blochii"/>
    <d v="2013-08-26T00:00:00"/>
    <x v="0"/>
    <n v="265"/>
    <n v="240"/>
    <n v="367"/>
    <x v="0"/>
    <x v="1"/>
    <n v="5"/>
    <x v="0"/>
    <n v="1.3812154696132596E-2"/>
    <n v="5.579729825986222"/>
    <n v="5.9053618480545707"/>
    <n v="366.30773273526648"/>
    <n v="1.0018898516271122"/>
  </r>
  <r>
    <s v="MR193"/>
    <s v="P. blochii"/>
    <d v="2013-08-26T00:00:00"/>
    <x v="0"/>
    <n v="262"/>
    <n v="234"/>
    <n v="334"/>
    <x v="0"/>
    <x v="3"/>
    <n v="24.9"/>
    <x v="0"/>
    <n v="8.0556454221934637E-2"/>
    <n v="5.5683445037610966"/>
    <n v="5.8111409929767008"/>
    <n v="354.4776526204729"/>
    <n v="0.94223147081602454"/>
  </r>
  <r>
    <s v="MR194"/>
    <s v="P. blochii"/>
    <d v="2013-08-26T00:00:00"/>
    <x v="0"/>
    <n v="251"/>
    <n v="225"/>
    <n v="284"/>
    <x v="1"/>
    <x v="1"/>
    <n v="14.6"/>
    <x v="0"/>
    <n v="5.4194506310319232E-2"/>
    <n v="5.5254529391317835"/>
    <n v="5.6489742381612063"/>
    <n v="313.24061334248506"/>
    <n v="0.90665127031112491"/>
  </r>
  <r>
    <s v="MR195"/>
    <s v="P. blochii"/>
    <d v="2013-08-26T00:00:00"/>
    <x v="0"/>
    <n v="220"/>
    <n v="201"/>
    <n v="211"/>
    <x v="0"/>
    <x v="2"/>
    <n v="8.1"/>
    <x v="0"/>
    <n v="3.9921143420404134E-2"/>
    <n v="5.393627546352362"/>
    <n v="5.3518581334760666"/>
    <n v="214.19051196879525"/>
    <n v="0.98510432633327816"/>
  </r>
  <r>
    <s v="MR196"/>
    <s v="P. blochii"/>
    <d v="2013-08-26T00:00:00"/>
    <x v="0"/>
    <n v="290"/>
    <n v="266"/>
    <n v="489"/>
    <x v="1"/>
    <x v="0"/>
    <n v="31.9"/>
    <x v="1"/>
    <n v="6.9787792605556759E-2"/>
    <n v="5.6698809229805196"/>
    <n v="6.1923624894748723"/>
    <n v="475.04794990341821"/>
    <n v="1.0293697722501873"/>
  </r>
  <r>
    <s v="MR197"/>
    <s v="P. blochii"/>
    <d v="2013-08-26T00:00:00"/>
    <x v="0"/>
    <n v="253"/>
    <n v="230"/>
    <n v="284.10000000000002"/>
    <x v="1"/>
    <x v="1"/>
    <n v="17.2"/>
    <x v="0"/>
    <n v="6.44436118396403E-2"/>
    <n v="5.5333894887275203"/>
    <n v="5.6493262888601423"/>
    <n v="320.49154675906124"/>
    <n v="0.88645083738692299"/>
  </r>
  <r>
    <s v="MR198"/>
    <s v="P. blochii"/>
    <d v="2013-08-26T00:00:00"/>
    <x v="0"/>
    <n v="239"/>
    <n v="214"/>
    <n v="246.7"/>
    <x v="0"/>
    <x v="1"/>
    <n v="9.3000000000000007"/>
    <x v="0"/>
    <n v="3.9174389216512222E-2"/>
    <n v="5.476463551931511"/>
    <n v="5.5081730235353108"/>
    <n v="271.97644672459353"/>
    <n v="0.90706383942801949"/>
  </r>
  <r>
    <s v="MR199"/>
    <s v="P. blochii"/>
    <d v="2013-08-26T00:00:00"/>
    <x v="0"/>
    <n v="265"/>
    <n v="240"/>
    <n v="352"/>
    <x v="1"/>
    <x v="0"/>
    <n v="19.600000000000001"/>
    <x v="2"/>
    <n v="5.8965102286401935E-2"/>
    <n v="5.579729825986222"/>
    <n v="5.8636311755980968"/>
    <n v="366.30773273526648"/>
    <n v="0.96094067513009129"/>
  </r>
  <r>
    <s v="MR200"/>
    <s v="P. blochii"/>
    <d v="2013-08-26T00:00:00"/>
    <x v="0"/>
    <n v="250"/>
    <n v="228"/>
    <n v="313"/>
    <x v="0"/>
    <x v="1"/>
    <n v="8.9"/>
    <x v="2"/>
    <n v="2.9266688589279843E-2"/>
    <n v="5.521460917862246"/>
    <n v="5.7462031905401529"/>
    <n v="309.65569558397874"/>
    <n v="1.0108000739650993"/>
  </r>
  <r>
    <s v="MR201"/>
    <s v="P. blochii"/>
    <d v="2013-09-13T00:00:00"/>
    <x v="0"/>
    <n v="237"/>
    <n v="203"/>
    <n v="279.5"/>
    <x v="0"/>
    <x v="2"/>
    <n v="16"/>
    <x v="0"/>
    <n v="6.0721062618595827E-2"/>
    <n v="5.4680601411351315"/>
    <n v="5.6330022925951537"/>
    <n v="265.46554217630569"/>
    <n v="1.0528673428145845"/>
  </r>
  <r>
    <s v="MR202"/>
    <s v="P. blochii"/>
    <d v="2013-09-13T00:00:00"/>
    <x v="0"/>
    <n v="272"/>
    <n v="229"/>
    <n v="393.4"/>
    <x v="0"/>
    <x v="2"/>
    <n v="25.4"/>
    <x v="0"/>
    <n v="6.9021739130434773E-2"/>
    <n v="5.6058020662959978"/>
    <n v="5.9748269059549584"/>
    <n v="394.90710594499711"/>
    <n v="0.99618364440064788"/>
  </r>
  <r>
    <s v="MR203"/>
    <s v="P. blochii"/>
    <d v="2015-09-13T00:00:00"/>
    <x v="0"/>
    <n v="225"/>
    <n v="207"/>
    <n v="227.8"/>
    <x v="1"/>
    <x v="0"/>
    <n v="11.8"/>
    <x v="0"/>
    <n v="5.4629629629629632E-2"/>
    <n v="5.4161004022044201"/>
    <n v="5.4284680510130814"/>
    <n v="228.52924007361699"/>
    <n v="0.99680898569748855"/>
  </r>
  <r>
    <s v="MR204"/>
    <s v="P. blochii"/>
    <d v="2015-09-13T00:00:00"/>
    <x v="0"/>
    <n v="269"/>
    <n v="245"/>
    <n v="360.9"/>
    <x v="1"/>
    <x v="1"/>
    <n v="3.3"/>
    <x v="2"/>
    <n v="9.2281879194630878E-3"/>
    <n v="5.5947113796018391"/>
    <n v="5.8886009116487426"/>
    <n v="382.47819318128876"/>
    <n v="0.94358320666124607"/>
  </r>
  <r>
    <s v="MR205"/>
    <s v="P. blochii"/>
    <d v="2013-08-26T00:00:00"/>
    <x v="0"/>
    <n v="246"/>
    <n v="229"/>
    <n v="284.89999999999998"/>
    <x v="1"/>
    <x v="1"/>
    <n v="14.8"/>
    <x v="0"/>
    <n v="5.4794520547945216E-2"/>
    <n v="5.5053315359323625"/>
    <n v="5.6521382415038621"/>
    <n v="295.58413246008666"/>
    <n v="0.96385417454189837"/>
  </r>
  <r>
    <s v="MR206"/>
    <s v="P. blochii"/>
    <d v="2013-08-26T00:00:00"/>
    <x v="0"/>
    <n v="275"/>
    <n v="243"/>
    <n v="415.8"/>
    <x v="0"/>
    <x v="3"/>
    <n v="23.1"/>
    <x v="2"/>
    <n v="5.8823529411764712E-2"/>
    <n v="5.6167710976665717"/>
    <n v="6.0302043754239127"/>
    <n v="407.59690297976448"/>
    <n v="1.0201255136147165"/>
  </r>
  <r>
    <s v="MR207"/>
    <s v="P. blochii"/>
    <d v="2013-08-26T00:00:00"/>
    <x v="0"/>
    <n v="260"/>
    <n v="239"/>
    <n v="346.6"/>
    <x v="1"/>
    <x v="2"/>
    <n v="17.399999999999999"/>
    <x v="0"/>
    <n v="5.2855407047387594E-2"/>
    <n v="5.5606816310155276"/>
    <n v="5.8481713772815054"/>
    <n v="346.73130840801252"/>
    <n v="0.99962129636168306"/>
  </r>
  <r>
    <s v="MR208"/>
    <s v="P. blochii"/>
    <d v="2013-08-26T00:00:00"/>
    <x v="0"/>
    <n v="275"/>
    <n v="252"/>
    <n v="407.2"/>
    <x v="1"/>
    <x v="1"/>
    <n v="30.1"/>
    <x v="0"/>
    <n v="7.9819676478387711E-2"/>
    <n v="5.6167710976665717"/>
    <n v="6.0093044652363128"/>
    <n v="407.59690297976448"/>
    <n v="0.99902623651734612"/>
  </r>
  <r>
    <s v="MR209"/>
    <s v="P. blochii"/>
    <d v="2013-08-26T00:00:00"/>
    <x v="0"/>
    <n v="242"/>
    <n v="220"/>
    <n v="236"/>
    <x v="0"/>
    <x v="2"/>
    <n v="15.9"/>
    <x v="0"/>
    <n v="7.2239890958655156E-2"/>
    <n v="5.4889377261566867"/>
    <n v="5.4638318050256105"/>
    <n v="281.93697248644321"/>
    <n v="0.83706651851540304"/>
  </r>
  <r>
    <s v="MR210"/>
    <s v="P. blochii"/>
    <d v="2013-09-13T00:00:00"/>
    <x v="0"/>
    <n v="254"/>
    <n v="234"/>
    <n v="301.10000000000002"/>
    <x v="1"/>
    <x v="4"/>
    <n v="2.6"/>
    <x v="0"/>
    <n v="8.7102177554438855E-3"/>
    <n v="5.5373342670185366"/>
    <n v="5.707442435487688"/>
    <n v="324.15775239082603"/>
    <n v="0.92886873066967079"/>
  </r>
  <r>
    <s v="MR212"/>
    <s v="P. blochii"/>
    <d v="2013-09-13T00:00:00"/>
    <x v="0"/>
    <n v="251"/>
    <n v="210"/>
    <n v="310.39999999999998"/>
    <x v="1"/>
    <x v="2"/>
    <n v="16.899999999999999"/>
    <x v="0"/>
    <n v="5.7580919931856892E-2"/>
    <n v="5.5254529391317835"/>
    <n v="5.7378617883090639"/>
    <n v="313.24061334248506"/>
    <n v="0.99093152924145478"/>
  </r>
  <r>
    <s v="MR213"/>
    <s v="P. blochii"/>
    <d v="2013-09-13T00:00:00"/>
    <x v="0"/>
    <n v="288"/>
    <n v="262"/>
    <n v="444.5"/>
    <x v="1"/>
    <x v="2"/>
    <n v="29.7"/>
    <x v="0"/>
    <n v="7.1600771456123424E-2"/>
    <n v="5.6629604801359461"/>
    <n v="6.0969500549539593"/>
    <n v="465.66259122555317"/>
    <n v="0.95455380864961381"/>
  </r>
  <r>
    <s v="MR214"/>
    <s v="P. blochii"/>
    <d v="2013-09-13T00:00:00"/>
    <x v="0"/>
    <n v="244"/>
    <n v="220"/>
    <n v="288.8"/>
    <x v="0"/>
    <x v="2"/>
    <n v="18.2"/>
    <x v="0"/>
    <n v="6.7257945306725783E-2"/>
    <n v="5.4971682252932021"/>
    <n v="5.6657344070186708"/>
    <n v="288.70788318683475"/>
    <n v="1.0003190658050223"/>
  </r>
  <r>
    <s v="MR215"/>
    <s v="P. blochii"/>
    <d v="2013-09-13T00:00:00"/>
    <x v="0"/>
    <n v="223"/>
    <n v="221"/>
    <n v="239.9"/>
    <x v="1"/>
    <x v="0"/>
    <n v="8.1"/>
    <x v="0"/>
    <n v="3.4943917169974109E-2"/>
    <n v="5.4071717714601188"/>
    <n v="5.480222169845649"/>
    <n v="222.72087916610181"/>
    <n v="1.077132960763352"/>
  </r>
  <r>
    <s v="MR216"/>
    <s v="P. blochii"/>
    <d v="2013-09-13T00:00:00"/>
    <x v="0"/>
    <n v="224"/>
    <n v="209"/>
    <n v="243.7"/>
    <x v="0"/>
    <x v="2"/>
    <n v="17.100000000000001"/>
    <x v="0"/>
    <n v="7.546337157987644E-2"/>
    <n v="5.4116460518550396"/>
    <n v="5.4959379606311609"/>
    <n v="225.61285044185979"/>
    <n v="1.0801689687565081"/>
  </r>
  <r>
    <s v="MR217"/>
    <s v="P. blochii"/>
    <d v="2013-08-26T00:00:00"/>
    <x v="0"/>
    <n v="213"/>
    <n v="192"/>
    <n v="173"/>
    <x v="0"/>
    <x v="0"/>
    <n v="6.2"/>
    <x v="2"/>
    <n v="3.7170263788968823E-2"/>
    <n v="5.3612921657094255"/>
    <n v="5.1532915944977793"/>
    <n v="195.12295926303747"/>
    <n v="0.8866204195211369"/>
  </r>
  <r>
    <s v="MR219"/>
    <s v="P. blochii"/>
    <d v="2013-10-02T00:00:00"/>
    <x v="3"/>
    <n v="268"/>
    <n v="242"/>
    <n v="366.2"/>
    <x v="0"/>
    <x v="3"/>
    <n v="10.8"/>
    <x v="0"/>
    <n v="3.038829487900957E-2"/>
    <n v="5.5909869805108565"/>
    <n v="5.90317963224041"/>
    <n v="378.39275701122119"/>
    <n v="0.96777750951808095"/>
  </r>
  <r>
    <s v="MR220"/>
    <s v="P. blochii"/>
    <d v="2013-09-30T00:00:00"/>
    <x v="0"/>
    <n v="304"/>
    <n v="278"/>
    <n v="515.5"/>
    <x v="0"/>
    <x v="3"/>
    <n v="19.3"/>
    <x v="0"/>
    <n v="3.8895606610237811E-2"/>
    <n v="5.7170277014062219"/>
    <n v="6.2451373034570148"/>
    <n v="544.22290800570886"/>
    <n v="0.94722216286160532"/>
  </r>
  <r>
    <s v="MR222"/>
    <s v="P. blochii"/>
    <d v="2013-09-30T00:00:00"/>
    <x v="0"/>
    <n v="260"/>
    <n v="240"/>
    <n v="350.7"/>
    <x v="0"/>
    <x v="1"/>
    <n v="5.5"/>
    <x v="0"/>
    <n v="1.5932792584009269E-2"/>
    <n v="5.5606816310155276"/>
    <n v="5.8599311571461321"/>
    <n v="346.73130840801252"/>
    <n v="1.0114460145240687"/>
  </r>
  <r>
    <s v="MR223"/>
    <s v="P. blochii"/>
    <d v="2013-07-24T00:00:00"/>
    <x v="0"/>
    <n v="251"/>
    <n v="230"/>
    <n v="304.2"/>
    <x v="1"/>
    <x v="0"/>
    <n v="9.6"/>
    <x v="0"/>
    <n v="3.2586558044806521E-2"/>
    <n v="5.5254529391317835"/>
    <n v="5.7176853798251921"/>
    <n v="313.24061334248506"/>
    <n v="0.97113843812902889"/>
  </r>
  <r>
    <s v="MR224"/>
    <s v="P. blochii"/>
    <d v="2013-09-30T00:00:00"/>
    <x v="0"/>
    <n v="239"/>
    <n v="227"/>
    <n v="334.4"/>
    <x v="1"/>
    <x v="0"/>
    <n v="12.2"/>
    <x v="0"/>
    <n v="3.7864680322780883E-2"/>
    <n v="5.476463551931511"/>
    <n v="5.8123378812105466"/>
    <n v="271.97644672459353"/>
    <n v="1.2295182322850819"/>
  </r>
  <r>
    <s v="MR225"/>
    <s v="P. blochii"/>
    <d v="2013-10-02T00:00:00"/>
    <x v="3"/>
    <n v="400"/>
    <n v="365"/>
    <n v="1234.5"/>
    <x v="0"/>
    <x v="2"/>
    <n v="54.3"/>
    <x v="2"/>
    <n v="4.6009150991357391E-2"/>
    <n v="5.9914645471079817"/>
    <n v="7.1184213087852344"/>
    <n v="1200.7132249977406"/>
    <n v="1.0281389213501193"/>
  </r>
  <r>
    <s v="MR226"/>
    <s v="P. blochii"/>
    <d v="2013-09-30T00:00:00"/>
    <x v="0"/>
    <n v="239"/>
    <n v="219"/>
    <n v="268"/>
    <x v="0"/>
    <x v="1"/>
    <n v="3.1"/>
    <x v="0"/>
    <n v="1.1702529256323143E-2"/>
    <n v="5.476463551931511"/>
    <n v="5.5909869805108565"/>
    <n v="271.97644672459353"/>
    <n v="0.98537944453469484"/>
  </r>
  <r>
    <s v="MR227"/>
    <s v="P. blochii"/>
    <d v="2013-09-30T00:00:00"/>
    <x v="0"/>
    <n v="242"/>
    <n v="219"/>
    <n v="279.89999999999998"/>
    <x v="0"/>
    <x v="0"/>
    <n v="7"/>
    <x v="2"/>
    <n v="2.5650421399780143E-2"/>
    <n v="5.4889377261566867"/>
    <n v="5.634432396521408"/>
    <n v="281.93697248644321"/>
    <n v="0.99277507852737834"/>
  </r>
  <r>
    <s v="MR229"/>
    <s v="P. blochii"/>
    <d v="2013-09-30T00:00:00"/>
    <x v="0"/>
    <n v="248"/>
    <n v="230"/>
    <n v="314.7"/>
    <x v="1"/>
    <x v="0"/>
    <n v="15.1"/>
    <x v="0"/>
    <n v="5.0400534045393866E-2"/>
    <n v="5.5134287461649825"/>
    <n v="5.7516198040703612"/>
    <n v="302.56648270149668"/>
    <n v="1.0401019874712094"/>
  </r>
  <r>
    <s v="MR230"/>
    <s v="P. blochii"/>
    <d v="2013-10-02T00:00:00"/>
    <x v="3"/>
    <n v="248"/>
    <n v="227"/>
    <n v="292.10000000000002"/>
    <x v="0"/>
    <x v="3"/>
    <n v="10"/>
    <x v="0"/>
    <n v="3.5448422545196735E-2"/>
    <n v="5.5134287461649825"/>
    <n v="5.677096209393695"/>
    <n v="302.56648270149668"/>
    <n v="0.96540765980406829"/>
  </r>
  <r>
    <s v="MR233"/>
    <s v="P. blochii"/>
    <d v="2013-07-24T00:00:00"/>
    <x v="0"/>
    <n v="273"/>
    <n v="250"/>
    <n v="430"/>
    <x v="0"/>
    <x v="2"/>
    <n v="28.2"/>
    <x v="1"/>
    <n v="7.0184171229467393E-2"/>
    <n v="5.6094717951849598"/>
    <n v="6.0637852086876078"/>
    <n v="399.10792563575109"/>
    <n v="1.0774028085637237"/>
  </r>
  <r>
    <s v="MR234"/>
    <s v="P. blochii"/>
    <d v="2013-07-24T00:00:00"/>
    <x v="0"/>
    <n v="240"/>
    <n v="215"/>
    <n v="259.8"/>
    <x v="0"/>
    <x v="2"/>
    <n v="13.8"/>
    <x v="2"/>
    <n v="5.6097560975609757E-2"/>
    <n v="5.4806389233419912"/>
    <n v="5.5599121042364992"/>
    <n v="275.27063723462055"/>
    <n v="0.94379844726615536"/>
  </r>
  <r>
    <s v="MR236"/>
    <s v="P. blochii"/>
    <d v="2013-07-22T00:00:00"/>
    <x v="0"/>
    <n v="217"/>
    <n v="194"/>
    <n v="194"/>
    <x v="1"/>
    <x v="5"/>
    <n v="0.1"/>
    <x v="0"/>
    <n v="5.1572975760701394E-4"/>
    <n v="5.3798973535404597"/>
    <n v="5.2678581590633282"/>
    <n v="205.87643922507999"/>
    <n v="0.9423127810555546"/>
  </r>
  <r>
    <s v="MR237"/>
    <s v="P. blochii"/>
    <d v="2013-10-02T00:00:00"/>
    <x v="3"/>
    <n v="240"/>
    <n v="211"/>
    <n v="287.60000000000002"/>
    <x v="0"/>
    <x v="0"/>
    <n v="18.2"/>
    <x v="2"/>
    <n v="6.7557535263548615E-2"/>
    <n v="5.4806389233419912"/>
    <n v="5.6615706258468919"/>
    <n v="275.27063723462055"/>
    <n v="1.0447899670275069"/>
  </r>
  <r>
    <s v="MR239"/>
    <s v="P. blochii"/>
    <d v="2013-07-24T00:00:00"/>
    <x v="0"/>
    <n v="229"/>
    <n v="204"/>
    <n v="238.6"/>
    <x v="1"/>
    <x v="0"/>
    <n v="5.5"/>
    <x v="1"/>
    <n v="2.3595023595023596E-2"/>
    <n v="5.43372200355424"/>
    <n v="5.4747885096638154"/>
    <n v="240.44090691916568"/>
    <n v="0.99234362013205768"/>
  </r>
  <r>
    <s v="MR239"/>
    <s v="P. blochii"/>
    <d v="2013-07-24T00:00:00"/>
    <x v="0"/>
    <n v="231"/>
    <n v="209"/>
    <n v="245"/>
    <x v="1"/>
    <x v="0"/>
    <n v="13"/>
    <x v="0"/>
    <n v="5.6034482758620691E-2"/>
    <n v="5.4424177105217932"/>
    <n v="5.5012582105447274"/>
    <n v="246.54575127704169"/>
    <n v="0.99373036741036869"/>
  </r>
  <r>
    <s v="MR243"/>
    <s v="P. blochii"/>
    <d v="2013-07-22T00:00:00"/>
    <x v="0"/>
    <n v="196"/>
    <n v="175"/>
    <n v="120"/>
    <x v="0"/>
    <x v="4"/>
    <n v="2.2999999999999998"/>
    <x v="0"/>
    <n v="1.9541206457094305E-2"/>
    <n v="5.2781146592305168"/>
    <n v="4.7874917427820458"/>
    <n v="153.51459248781111"/>
    <n v="0.78168464675127136"/>
  </r>
  <r>
    <s v="MR244"/>
    <s v="P. blochii"/>
    <d v="2013-10-02T00:00:00"/>
    <x v="3"/>
    <n v="241"/>
    <n v="217"/>
    <n v="292.3"/>
    <x v="0"/>
    <x v="0"/>
    <n v="15.4"/>
    <x v="3"/>
    <n v="5.5615745756590819E-2"/>
    <n v="5.4847969334906548"/>
    <n v="5.6777806721172004"/>
    <n v="278.59078065338855"/>
    <n v="1.0492091637578915"/>
  </r>
  <r>
    <s v="MR247"/>
    <s v="P. blochii"/>
    <d v="2013-05-29T00:00:00"/>
    <x v="1"/>
    <n v="229"/>
    <n v="216"/>
    <n v="264.60000000000002"/>
    <x v="0"/>
    <x v="0"/>
    <n v="13.2"/>
    <x v="0"/>
    <n v="5.2505966587112159E-2"/>
    <n v="5.43372200355424"/>
    <n v="5.5782192516808555"/>
    <n v="240.44090691916568"/>
    <n v="1.1004782979335395"/>
  </r>
  <r>
    <s v="MR248"/>
    <s v="P. blochii"/>
    <d v="2014-07-17T00:00:00"/>
    <x v="0"/>
    <n v="258"/>
    <n v="219"/>
    <n v="351"/>
    <x v="0"/>
    <x v="2"/>
    <n v="24"/>
    <x v="2"/>
    <n v="7.3394495412844041E-2"/>
    <n v="5.5529595849216173"/>
    <n v="5.8607862234658654"/>
    <n v="339.0963820606903"/>
    <n v="1.035103936724336"/>
  </r>
  <r>
    <s v="MR248"/>
    <s v="P. blochii"/>
    <d v="2013-04-29T00:00:00"/>
    <x v="1"/>
    <n v="258"/>
    <n v="235"/>
    <n v="350.5"/>
    <x v="1"/>
    <x v="2"/>
    <n v="25"/>
    <x v="2"/>
    <n v="7.6804915514592939E-2"/>
    <n v="5.5529595849216173"/>
    <n v="5.8593607064746447"/>
    <n v="339.0963820606903"/>
    <n v="1.033629429691965"/>
  </r>
  <r>
    <s v="MR249"/>
    <s v="P. blochii"/>
    <d v="2014-04-29T00:00:00"/>
    <x v="1"/>
    <n v="236"/>
    <n v="211"/>
    <n v="261.60000000000002"/>
    <x v="0"/>
    <x v="4"/>
    <n v="6.3"/>
    <x v="2"/>
    <n v="2.4676850763807285E-2"/>
    <n v="5.4638318050256105"/>
    <n v="5.5668166195830437"/>
    <n v="262.24863689403401"/>
    <n v="0.99752663387800156"/>
  </r>
  <r>
    <s v="MR249"/>
    <s v="P. blochii"/>
    <d v="2015-07-16T00:00:00"/>
    <x v="0"/>
    <n v="270"/>
    <n v="250"/>
    <n v="384.5"/>
    <x v="1"/>
    <x v="2"/>
    <n v="3.15"/>
    <x v="1"/>
    <n v="8.2601284908876346E-3"/>
    <n v="5.598421958998375"/>
    <n v="5.951943788945699"/>
    <n v="386.59233390295867"/>
    <n v="0.99458775118007414"/>
  </r>
  <r>
    <s v="MR250"/>
    <s v="P. blochii"/>
    <d v="2014-07-17T00:00:00"/>
    <x v="0"/>
    <n v="215"/>
    <n v="190"/>
    <n v="193.5"/>
    <x v="0"/>
    <x v="4"/>
    <n v="2.38"/>
    <x v="2"/>
    <n v="1.2452909167015486E-2"/>
    <n v="5.3706380281276624"/>
    <n v="5.2652775124698366"/>
    <n v="200.45260008568741"/>
    <n v="0.96531549063112487"/>
  </r>
  <r>
    <s v="MR250"/>
    <s v="P. blochii"/>
    <d v="2014-04-29T00:00:00"/>
    <x v="1"/>
    <n v="326"/>
    <n v="302"/>
    <n v="769.5"/>
    <x v="0"/>
    <x v="0"/>
    <n v="42"/>
    <x v="2"/>
    <n v="5.7731958762886601E-2"/>
    <n v="5.7868973813667077"/>
    <n v="6.645740953278934"/>
    <n v="665.68819326913547"/>
    <n v="1.1559465944875091"/>
  </r>
  <r>
    <s v="MR251"/>
    <s v="P. blochii"/>
    <d v="2014-04-29T00:00:00"/>
    <x v="1"/>
    <n v="242"/>
    <n v="228"/>
    <n v="336"/>
    <x v="0"/>
    <x v="0"/>
    <n v="17"/>
    <x v="1"/>
    <n v="5.329153605015674E-2"/>
    <n v="5.4889377261566867"/>
    <n v="5.8171111599632042"/>
    <n v="281.93697248644321"/>
    <n v="1.1917557212761671"/>
  </r>
  <r>
    <s v="MR252"/>
    <s v="P. blochii"/>
    <d v="2015-07-26T00:00:00"/>
    <x v="0"/>
    <n v="185"/>
    <n v="175"/>
    <n v="127"/>
    <x v="1"/>
    <x v="5"/>
    <n v="0.55000000000000004"/>
    <x v="1"/>
    <n v="4.3495452748121789E-3"/>
    <n v="5.2203558250783244"/>
    <n v="4.8441870864585912"/>
    <n v="129.96349682965402"/>
    <n v="0.9771974677355878"/>
  </r>
  <r>
    <s v="MR252"/>
    <s v="P. blochii"/>
    <d v="2014-04-29T00:00:00"/>
    <x v="1"/>
    <n v="259"/>
    <n v="235"/>
    <n v="371"/>
    <x v="0"/>
    <x v="0"/>
    <n v="16.5"/>
    <x v="1"/>
    <n v="4.6544428772919602E-2"/>
    <n v="5.5568280616995374"/>
    <n v="5.916202062607435"/>
    <n v="342.8999653271876"/>
    <n v="1.0819481992248088"/>
  </r>
  <r>
    <s v="MR253"/>
    <s v="P. blochii"/>
    <d v="2014-07-26T00:00:00"/>
    <x v="0"/>
    <n v="161"/>
    <n v="154"/>
    <n v="100.08"/>
    <x v="0"/>
    <x v="4"/>
    <n v="0.16"/>
    <x v="1"/>
    <n v="1.601281024819856E-3"/>
    <n v="5.0814043649844631"/>
    <n v="4.6059698661586559"/>
    <n v="87.06026026779459"/>
    <n v="1.1495485964796923"/>
  </r>
  <r>
    <s v="MR253"/>
    <s v="P. blochii"/>
    <d v="2014-04-29T00:00:00"/>
    <x v="1"/>
    <n v="240"/>
    <n v="225"/>
    <n v="294.10000000000002"/>
    <x v="0"/>
    <x v="3"/>
    <n v="16.5"/>
    <x v="2"/>
    <n v="5.9438040345821321E-2"/>
    <n v="5.4806389233419912"/>
    <n v="5.6839198455599496"/>
    <n v="275.27063723462055"/>
    <n v="1.0684030921515639"/>
  </r>
  <r>
    <s v="MR254"/>
    <s v="P. blochii"/>
    <d v="2015-07-26T00:00:00"/>
    <x v="0"/>
    <n v="186"/>
    <n v="173"/>
    <n v="129.19999999999999"/>
    <x v="1"/>
    <x v="4"/>
    <n v="0.14000000000000001"/>
    <x v="2"/>
    <n v="1.0847667751433443E-3"/>
    <n v="5.2257466737132017"/>
    <n v="4.8613615913485013"/>
    <n v="131.99943046092247"/>
    <n v="0.97879210197235489"/>
  </r>
  <r>
    <s v="MR254"/>
    <s v="P. blochii"/>
    <d v="2014-04-29T00:00:00"/>
    <x v="1"/>
    <n v="260"/>
    <n v="235"/>
    <n v="360.4"/>
    <x v="0"/>
    <x v="2"/>
    <n v="31"/>
    <x v="2"/>
    <n v="9.4110503946569529E-2"/>
    <n v="5.5606816310155276"/>
    <n v="5.8872145257341826"/>
    <n v="346.73130840801252"/>
    <n v="1.0394215672497131"/>
  </r>
  <r>
    <s v="MR255"/>
    <s v="P. blochii"/>
    <d v="2015-07-26T00:00:00"/>
    <x v="0"/>
    <n v="188"/>
    <n v="164"/>
    <n v="146"/>
    <x v="1"/>
    <x v="4"/>
    <n v="0.23"/>
    <x v="1"/>
    <n v="1.577828085339919E-3"/>
    <n v="5.2364419628299492"/>
    <n v="4.9836066217083363"/>
    <n v="136.13355682011075"/>
    <n v="1.0724762021235288"/>
  </r>
  <r>
    <s v="MR255"/>
    <s v="P. blochii"/>
    <d v="2014-05-23T00:00:00"/>
    <x v="1"/>
    <n v="260"/>
    <n v="245"/>
    <n v="317.5"/>
    <x v="1"/>
    <x v="2"/>
    <n v="25.9"/>
    <x v="1"/>
    <n v="8.8820301783264735E-2"/>
    <n v="5.5606816310155276"/>
    <n v="5.7604778183327463"/>
    <n v="346.73130840801252"/>
    <n v="0.91569463818475005"/>
  </r>
  <r>
    <s v="MR256"/>
    <s v="P. blochii"/>
    <d v="2014-01-23T00:00:00"/>
    <x v="2"/>
    <n v="240"/>
    <n v="220"/>
    <n v="311"/>
    <x v="0"/>
    <x v="1"/>
    <n v="3.64"/>
    <x v="1"/>
    <n v="1.1842790213430505E-2"/>
    <n v="5.4806389233419912"/>
    <n v="5.7397929121792339"/>
    <n v="275.27063723462055"/>
    <n v="1.129797217474112"/>
  </r>
  <r>
    <s v="MR256"/>
    <s v="P. blochii"/>
    <d v="2014-05-23T00:00:00"/>
    <x v="1"/>
    <n v="295"/>
    <n v="268"/>
    <n v="530"/>
    <x v="1"/>
    <x v="2"/>
    <n v="49.5"/>
    <x v="0"/>
    <n v="0.10301768990634755"/>
    <n v="5.6869753563398202"/>
    <n v="6.2728770065461674"/>
    <n v="499.04980022759258"/>
    <n v="1.062018259016019"/>
  </r>
  <r>
    <s v="MR257"/>
    <s v="P. blochii"/>
    <d v="2014-07-26T00:00:00"/>
    <x v="0"/>
    <n v="126"/>
    <n v="116"/>
    <n v="39.5"/>
    <x v="3"/>
    <x v="5"/>
    <n v="0"/>
    <x v="2"/>
    <n v="0"/>
    <n v="4.836281906951478"/>
    <n v="3.6763006719070761"/>
    <n v="42.940422566277427"/>
    <n v="0.91987916371881939"/>
  </r>
  <r>
    <s v="MR257"/>
    <s v="P. blochii"/>
    <d v="2014-05-23T00:00:00"/>
    <x v="1"/>
    <n v="238"/>
    <n v="222"/>
    <n v="310.5"/>
    <x v="1"/>
    <x v="0"/>
    <n v="23"/>
    <x v="2"/>
    <n v="0.08"/>
    <n v="5.472270673671475"/>
    <n v="5.7381839013735334"/>
    <n v="268.7081135713492"/>
    <n v="1.1555289338799735"/>
  </r>
  <r>
    <s v="MR258"/>
    <s v="P. blochii"/>
    <d v="2014-07-26T00:00:00"/>
    <x v="0"/>
    <n v="179"/>
    <n v="164"/>
    <n v="116"/>
    <x v="2"/>
    <x v="6"/>
    <s v="0,29; 0,14"/>
    <x v="1"/>
    <e v="#VALUE!"/>
    <n v="5.1873858058407549"/>
    <n v="4.7535901911063645"/>
    <n v="118.17750298165524"/>
    <n v="0.98157430198882056"/>
  </r>
  <r>
    <s v="MR258"/>
    <s v="P. blochii"/>
    <d v="2014-05-23T00:00:00"/>
    <x v="1"/>
    <n v="245"/>
    <n v="221"/>
    <n v="300"/>
    <x v="0"/>
    <x v="2"/>
    <n v="15.5"/>
    <x v="1"/>
    <n v="5.4481546572934976E-2"/>
    <n v="5.5012582105447274"/>
    <n v="5.7037824746562009"/>
    <n v="292.13279283513953"/>
    <n v="1.0269302432243552"/>
  </r>
  <r>
    <s v="MR259"/>
    <s v="P. blochii"/>
    <d v="2014-05-16T00:00:00"/>
    <x v="1"/>
    <n v="218"/>
    <n v="205"/>
    <n v="213.7"/>
    <x v="0"/>
    <x v="3"/>
    <n v="13.07"/>
    <x v="2"/>
    <n v="6.5144793899217471E-2"/>
    <n v="5.3844950627890888"/>
    <n v="5.3645731623251018"/>
    <n v="208.62392497014221"/>
    <n v="1.0243312219851306"/>
  </r>
  <r>
    <s v="MR259"/>
    <s v="P. blochii"/>
    <d v="2014-05-23T00:00:00"/>
    <x v="1"/>
    <n v="246"/>
    <n v="238"/>
    <n v="333.5"/>
    <x v="1"/>
    <x v="0"/>
    <n v="27.5"/>
    <x v="1"/>
    <n v="8.9869281045751634E-2"/>
    <n v="5.5053315359323625"/>
    <n v="5.809642865355678"/>
    <n v="295.58413246008666"/>
    <n v="1.1282743671804953"/>
  </r>
  <r>
    <s v="MR260"/>
    <s v="P. blochii"/>
    <d v="2014-05-16T00:00:00"/>
    <x v="1"/>
    <n v="230"/>
    <n v="200"/>
    <n v="272.63"/>
    <x v="0"/>
    <x v="0"/>
    <n v="12.8"/>
    <x v="0"/>
    <n v="4.92629796405342E-2"/>
    <n v="5.4380793089231956"/>
    <n v="5.6081155645645255"/>
    <n v="243.4808314659586"/>
    <n v="1.1197185353710968"/>
  </r>
  <r>
    <s v="MR260"/>
    <s v="P. blochii"/>
    <d v="2014-05-23T00:00:00"/>
    <x v="1"/>
    <n v="251"/>
    <n v="232"/>
    <n v="329.5"/>
    <x v="1"/>
    <x v="0"/>
    <n v="28"/>
    <x v="2"/>
    <n v="9.2868988391376445E-2"/>
    <n v="5.5254529391317835"/>
    <n v="5.7975763539425618"/>
    <n v="313.24061334248506"/>
    <n v="1.0519070196039284"/>
  </r>
  <r>
    <s v="MR261"/>
    <s v="P. blochii"/>
    <d v="2014-05-23T00:00:00"/>
    <x v="1"/>
    <n v="225"/>
    <n v="195"/>
    <n v="294.10000000000002"/>
    <x v="0"/>
    <x v="0"/>
    <n v="14.7"/>
    <x v="2"/>
    <n v="5.2612741589119535E-2"/>
    <n v="5.4161004022044201"/>
    <n v="5.6839198455599496"/>
    <n v="228.52924007361699"/>
    <n v="1.2869250337736233"/>
  </r>
  <r>
    <s v="MR261"/>
    <s v="P. blochii"/>
    <d v="2014-05-16T00:00:00"/>
    <x v="1"/>
    <n v="250"/>
    <n v="205"/>
    <n v="304.43"/>
    <x v="1"/>
    <x v="2"/>
    <n v="17.87"/>
    <x v="2"/>
    <n v="6.2360413176996095E-2"/>
    <n v="5.521460917862246"/>
    <n v="5.7184411756648608"/>
    <n v="309.65569558397874"/>
    <n v="0.98312417417634246"/>
  </r>
  <r>
    <s v="MR262"/>
    <s v="P. blochii"/>
    <d v="2014-05-16T00:00:00"/>
    <x v="1"/>
    <n v="260"/>
    <n v="235"/>
    <n v="346.5"/>
    <x v="0"/>
    <x v="2"/>
    <n v="23.5"/>
    <x v="2"/>
    <n v="7.275541795665634E-2"/>
    <n v="5.5606816310155276"/>
    <n v="5.8478828186299578"/>
    <n v="346.73130840801252"/>
    <n v="0.99933288860162484"/>
  </r>
  <r>
    <s v="MR262"/>
    <s v="P. blochii"/>
    <d v="2014-04-29T00:00:00"/>
    <x v="1"/>
    <n v="277"/>
    <n v="252"/>
    <n v="477.5"/>
    <x v="0"/>
    <x v="0"/>
    <n v="4.5"/>
    <x v="1"/>
    <n v="9.5137420718816069E-3"/>
    <n v="5.6240175061873385"/>
    <n v="6.168564159920785"/>
    <n v="416.20295796969481"/>
    <n v="1.1472768053579485"/>
  </r>
  <r>
    <s v="MR263"/>
    <s v="P. blochii"/>
    <d v="2014-04-29T00:00:00"/>
    <x v="1"/>
    <n v="234"/>
    <n v="219"/>
    <n v="281"/>
    <x v="1"/>
    <x v="4"/>
    <n v="1.5"/>
    <x v="1"/>
    <n v="5.3667262969588547E-3"/>
    <n v="5.4553211153577017"/>
    <n v="5.6383546693337454"/>
    <n v="255.89144185053246"/>
    <n v="1.0981219143863887"/>
  </r>
  <r>
    <s v="MR263"/>
    <s v="P. blochii"/>
    <d v="2014-01-23T00:00:00"/>
    <x v="2"/>
    <n v="260"/>
    <n v="245"/>
    <n v="398.86"/>
    <x v="0"/>
    <x v="0"/>
    <n v="4.9000000000000004"/>
    <x v="1"/>
    <n v="1.2437810945273631E-2"/>
    <n v="5.5606816310155276"/>
    <n v="5.988610478125076"/>
    <n v="346.73130840801252"/>
    <n v="1.1503431917680926"/>
  </r>
  <r>
    <s v="MR264"/>
    <s v="P. blochii"/>
    <d v="2014-01-13T00:00:00"/>
    <x v="2"/>
    <n v="208"/>
    <n v="187"/>
    <n v="269"/>
    <x v="1"/>
    <x v="4"/>
    <n v="0.5"/>
    <x v="4"/>
    <n v="1.8621973929236499E-3"/>
    <n v="5.3375380797013179"/>
    <n v="5.5947113796018391"/>
    <n v="182.20588998736662"/>
    <n v="1.4763518348317461"/>
  </r>
  <r>
    <s v="MR264"/>
    <s v="P. blochii"/>
    <d v="2014-01-23T00:00:00"/>
    <x v="2"/>
    <n v="240"/>
    <n v="210"/>
    <n v="324.3"/>
    <x v="0"/>
    <x v="1"/>
    <n v="3.2"/>
    <x v="1"/>
    <n v="9.9657427592650255E-3"/>
    <n v="5.4806389233419912"/>
    <n v="5.7816690133132722"/>
    <n v="275.27063723462055"/>
    <n v="1.1781133042664134"/>
  </r>
  <r>
    <s v="MR265"/>
    <s v="P. blochii"/>
    <d v="2014-07-26T00:00:00"/>
    <x v="0"/>
    <n v="190"/>
    <n v="160"/>
    <n v="126.5"/>
    <x v="1"/>
    <x v="4"/>
    <n v="0.08"/>
    <x v="1"/>
    <n v="6.3281126404049991E-4"/>
    <n v="5.2470240721604862"/>
    <n v="4.8402423081675749"/>
    <n v="140.35135086611592"/>
    <n v="0.9013094581517137"/>
  </r>
  <r>
    <s v="MR265"/>
    <s v="P. blochii"/>
    <d v="2014-01-13T00:00:00"/>
    <x v="2"/>
    <n v="225"/>
    <n v="210"/>
    <n v="261"/>
    <x v="1"/>
    <x v="4"/>
    <n v="0.4"/>
    <x v="2"/>
    <n v="1.5349194167306216E-3"/>
    <n v="5.4161004022044201"/>
    <n v="5.5645204073226937"/>
    <n v="228.52924007361699"/>
    <n v="1.1420858001187204"/>
  </r>
  <r>
    <s v="MR266"/>
    <s v="P. blochii"/>
    <d v="2014-01-13T00:00:00"/>
    <x v="2"/>
    <n v="199"/>
    <n v="185"/>
    <n v="169.5"/>
    <x v="0"/>
    <x v="4"/>
    <n v="0.5"/>
    <x v="1"/>
    <n v="2.9585798816568047E-3"/>
    <n v="5.2933048247244923"/>
    <n v="5.1328529268205045"/>
    <n v="160.38785893534876"/>
    <n v="1.0568131598310335"/>
  </r>
  <r>
    <s v="MR266"/>
    <s v="P. blochii"/>
    <d v="2014-01-23T00:00:00"/>
    <x v="2"/>
    <n v="320"/>
    <n v="285"/>
    <n v="646"/>
    <x v="1"/>
    <x v="0"/>
    <n v="1.32"/>
    <x v="1"/>
    <n v="2.0475274554817898E-3"/>
    <n v="5.768320995793772"/>
    <n v="6.4707995037826018"/>
    <n v="630.96990803862241"/>
    <n v="1.0238206161179679"/>
  </r>
  <r>
    <s v="MR267"/>
    <s v="P. blochii"/>
    <d v="2014-01-23T00:00:00"/>
    <x v="2"/>
    <n v="180"/>
    <n v="172"/>
    <n v="158"/>
    <x v="1"/>
    <x v="5"/>
    <n v="0.34"/>
    <x v="1"/>
    <n v="2.156539388557656E-3"/>
    <n v="5.1929568508902104"/>
    <n v="5.0625950330269669"/>
    <n v="120.09118463208209"/>
    <n v="1.3156669282933418"/>
  </r>
  <r>
    <s v="MR267"/>
    <s v="P. blochii"/>
    <d v="2014-01-08T00:00:00"/>
    <x v="2"/>
    <n v="248"/>
    <n v="230"/>
    <n v="310.8"/>
    <x v="0"/>
    <x v="4"/>
    <n v="3.3"/>
    <x v="2"/>
    <n v="1.073170731707317E-2"/>
    <n v="5.5134287461649825"/>
    <n v="5.7391496184934923"/>
    <n v="302.56648270149668"/>
    <n v="1.0272122583605081"/>
  </r>
  <r>
    <s v="MR268"/>
    <s v="P. blochii"/>
    <d v="2014-01-08T00:00:00"/>
    <x v="2"/>
    <n v="245"/>
    <n v="230"/>
    <n v="317.5"/>
    <x v="0"/>
    <x v="1"/>
    <n v="4.7"/>
    <x v="2"/>
    <n v="1.5025575447570333E-2"/>
    <n v="5.5012582105447274"/>
    <n v="5.7604778183327463"/>
    <n v="292.13279283513953"/>
    <n v="1.0868345074124426"/>
  </r>
  <r>
    <s v="MR268"/>
    <s v="P. blochii"/>
    <d v="2014-01-23T00:00:00"/>
    <x v="2"/>
    <n v="257"/>
    <n v="235"/>
    <n v="354.5"/>
    <x v="0"/>
    <x v="4"/>
    <n v="2.5"/>
    <x v="1"/>
    <n v="7.102272727272727E-3"/>
    <n v="5.5490760848952201"/>
    <n v="5.8707083459721821"/>
    <n v="335.32046390332602"/>
    <n v="1.0571976308078934"/>
  </r>
  <r>
    <s v="MR269"/>
    <s v="P. blochii"/>
    <d v="2015-07-26T00:00:00"/>
    <x v="0"/>
    <n v="165"/>
    <n v="146"/>
    <n v="83"/>
    <x v="1"/>
    <x v="5"/>
    <n v="0.2"/>
    <x v="2"/>
    <n v="2.415458937198068E-3"/>
    <n v="5.1059454739005803"/>
    <n v="4.4188406077965983"/>
    <n v="93.444010511592651"/>
    <n v="0.88823242437462624"/>
  </r>
  <r>
    <s v="MR269"/>
    <s v="P. blochii"/>
    <d v="2014-03-29T00:00:00"/>
    <x v="2"/>
    <n v="260"/>
    <n v="241"/>
    <n v="451.5"/>
    <x v="0"/>
    <x v="0"/>
    <n v="22.2"/>
    <x v="1"/>
    <n v="5.1712089447938502E-2"/>
    <n v="5.5606816310155276"/>
    <n v="6.11257537285704"/>
    <n v="346.73130840801252"/>
    <n v="1.3021610366627232"/>
  </r>
  <r>
    <s v="MR270"/>
    <s v="P. blochii"/>
    <d v="2015-07-26T00:00:00"/>
    <x v="0"/>
    <n v="181"/>
    <n v="174"/>
    <n v="139.5"/>
    <x v="0"/>
    <x v="5"/>
    <n v="0.5"/>
    <x v="1"/>
    <n v="3.5971223021582736E-3"/>
    <n v="5.1984970312658261"/>
    <n v="4.93806460126142"/>
    <n v="122.02499493504962"/>
    <n v="1.1432084063945409"/>
  </r>
  <r>
    <s v="MR270"/>
    <s v="P. blochii"/>
    <d v="2014-03-29T00:00:00"/>
    <x v="2"/>
    <n v="235"/>
    <n v="230"/>
    <n v="384.5"/>
    <x v="0"/>
    <x v="0"/>
    <n v="16"/>
    <x v="2"/>
    <n v="4.3419267299864311E-2"/>
    <n v="5.4595855141441589"/>
    <n v="5.951943788945699"/>
    <n v="259.05730203203751"/>
    <n v="1.4842276090424544"/>
  </r>
  <r>
    <s v="MR271"/>
    <s v="P. blochii"/>
    <d v="2015-07-26T00:00:00"/>
    <x v="0"/>
    <n v="190"/>
    <n v="173"/>
    <n v="142"/>
    <x v="0"/>
    <x v="4"/>
    <n v="0.2"/>
    <x v="1"/>
    <n v="1.4104372355430183E-3"/>
    <n v="5.2470240721604862"/>
    <n v="4.9558270576012609"/>
    <n v="140.35135086611592"/>
    <n v="1.0117465854351253"/>
  </r>
  <r>
    <s v="MR271"/>
    <s v="P. blochii"/>
    <d v="2014-03-29T00:00:00"/>
    <x v="2"/>
    <n v="216"/>
    <n v="209"/>
    <n v="228"/>
    <x v="1"/>
    <x v="0"/>
    <n v="18"/>
    <x v="2"/>
    <n v="8.5714285714285715E-2"/>
    <n v="5.3752784076841653"/>
    <n v="5.4293456289544411"/>
    <n v="203.15269649140885"/>
    <n v="1.1223085094991192"/>
  </r>
  <r>
    <s v="MR271"/>
    <s v="P. blochii"/>
    <d v="2014-01-23T00:00:00"/>
    <x v="2"/>
    <n v="231"/>
    <n v="211"/>
    <n v="267.5"/>
    <x v="0"/>
    <x v="1"/>
    <n v="3"/>
    <x v="1"/>
    <n v="1.1342155009451797E-2"/>
    <n v="5.4424177105217932"/>
    <n v="5.5891195663360609"/>
    <n v="246.54575127704169"/>
    <n v="1.084991319519484"/>
  </r>
  <r>
    <s v="MR272"/>
    <s v="P. blochii"/>
    <d v="2015-07-26T00:00:00"/>
    <x v="0"/>
    <n v="177"/>
    <n v="168"/>
    <n v="127"/>
    <x v="1"/>
    <x v="5"/>
    <n v="0.33"/>
    <x v="1"/>
    <n v="2.6051946001421017E-3"/>
    <n v="5.1761497325738288"/>
    <n v="4.8441870864585912"/>
    <n v="114.41013029628078"/>
    <n v="1.1100415642488652"/>
  </r>
  <r>
    <s v="MR272"/>
    <s v="P. blochii"/>
    <d v="2014-01-23T00:00:00"/>
    <x v="2"/>
    <n v="231"/>
    <n v="211"/>
    <n v="267.5"/>
    <x v="0"/>
    <x v="1"/>
    <n v="3"/>
    <x v="1"/>
    <n v="1.1342155009451797E-2"/>
    <n v="5.4424177105217932"/>
    <n v="5.5891195663360609"/>
    <n v="246.54575127704169"/>
    <n v="1.084991319519484"/>
  </r>
  <r>
    <s v="MR273"/>
    <s v="P. blochii"/>
    <d v="2015-07-26T00:00:00"/>
    <x v="0"/>
    <n v="183"/>
    <n v="164"/>
    <n v="128.58000000000001"/>
    <x v="0"/>
    <x v="4"/>
    <n v="0.28999999999999998"/>
    <x v="1"/>
    <n v="2.2605035466521156E-3"/>
    <n v="5.2094861528414214"/>
    <n v="4.8565512787135408"/>
    <n v="125.95339645679842"/>
    <n v="1.0208537730390026"/>
  </r>
  <r>
    <s v="MR273"/>
    <s v="P. blochii"/>
    <d v="2014-01-23T00:00:00"/>
    <x v="2"/>
    <n v="234"/>
    <n v="223"/>
    <n v="327"/>
    <x v="0"/>
    <x v="4"/>
    <n v="4.5"/>
    <x v="2"/>
    <n v="1.3953488372093023E-2"/>
    <n v="5.4553211153577017"/>
    <n v="5.7899601708972535"/>
    <n v="255.89144185053246"/>
    <n v="1.2778856441435913"/>
  </r>
  <r>
    <s v="MR274"/>
    <s v="P. blochii"/>
    <d v="2015-07-26T00:00:00"/>
    <x v="0"/>
    <n v="196"/>
    <n v="176"/>
    <n v="153.56"/>
    <x v="1"/>
    <x v="5"/>
    <n v="0.14000000000000001"/>
    <x v="1"/>
    <n v="9.1252770173380258E-4"/>
    <n v="5.2781146592305168"/>
    <n v="5.0340913701325967"/>
    <n v="153.51459248781111"/>
    <n v="1.0002957862927102"/>
  </r>
  <r>
    <s v="MR275"/>
    <s v="P. blochii"/>
    <d v="2015-07-26T00:00:00"/>
    <x v="0"/>
    <n v="188"/>
    <n v="167"/>
    <n v="119.5"/>
    <x v="0"/>
    <x v="4"/>
    <n v="0.27"/>
    <x v="1"/>
    <n v="2.2645307389079932E-3"/>
    <n v="5.2364419628299492"/>
    <n v="4.7833163713715656"/>
    <n v="136.13355682011075"/>
    <n v="0.87781442571069657"/>
  </r>
  <r>
    <s v="MR275"/>
    <s v="P. blochii"/>
    <d v="2014-03-29T00:00:00"/>
    <x v="2"/>
    <n v="275"/>
    <n v="250"/>
    <n v="372"/>
    <x v="1"/>
    <x v="2"/>
    <n v="23"/>
    <x v="1"/>
    <n v="6.5902578796561598E-2"/>
    <n v="5.6167710976665717"/>
    <n v="5.9188938542731462"/>
    <n v="407.59690297976448"/>
    <n v="0.91266640467694693"/>
  </r>
  <r>
    <s v="MR276"/>
    <s v="P. blochii"/>
    <d v="2014-01-23T00:00:00"/>
    <x v="2"/>
    <n v="196"/>
    <n v="174"/>
    <n v="150"/>
    <x v="0"/>
    <x v="5"/>
    <n v="0.5"/>
    <x v="2"/>
    <n v="3.3444816053511705E-3"/>
    <n v="5.2781146592305168"/>
    <n v="5.0106352940962555"/>
    <n v="153.51459248781111"/>
    <n v="0.97710580843908912"/>
  </r>
  <r>
    <s v="MR276"/>
    <s v="P. blochii"/>
    <d v="2014-03-29T00:00:00"/>
    <x v="2"/>
    <n v="257"/>
    <n v="214"/>
    <n v="311"/>
    <x v="1"/>
    <x v="2"/>
    <n v="17"/>
    <x v="1"/>
    <n v="5.7823129251700682E-2"/>
    <n v="5.5490760848952201"/>
    <n v="5.7397929121792339"/>
    <n v="335.32046390332602"/>
    <n v="0.92747098217561308"/>
  </r>
  <r>
    <s v="MR276"/>
    <s v="P. blochii"/>
    <d v="2014-07-26T00:00:00"/>
    <x v="0"/>
    <n v="260"/>
    <n v="230"/>
    <n v="367"/>
    <x v="0"/>
    <x v="1"/>
    <n v="20.91"/>
    <x v="2"/>
    <n v="6.0417810396139734E-2"/>
    <n v="5.5606816310155276"/>
    <n v="5.9053618480545707"/>
    <n v="346.73130840801252"/>
    <n v="1.0584564794135536"/>
  </r>
  <r>
    <s v="MR277"/>
    <s v="P. blochii"/>
    <d v="2015-07-26T00:00:00"/>
    <x v="0"/>
    <n v="185"/>
    <n v="165"/>
    <n v="135.5"/>
    <x v="1"/>
    <x v="4"/>
    <n v="0.25"/>
    <x v="4"/>
    <n v="1.8484288354898336E-3"/>
    <n v="5.2203558250783244"/>
    <n v="4.9089716403197556"/>
    <n v="129.96349682965402"/>
    <n v="1.0426004478596231"/>
  </r>
  <r>
    <s v="MR278"/>
    <s v="P. blochii"/>
    <d v="2015-07-27T00:00:00"/>
    <x v="0"/>
    <n v="180"/>
    <n v="162"/>
    <n v="122"/>
    <x v="1"/>
    <x v="4"/>
    <n v="2.8"/>
    <x v="1"/>
    <n v="2.3489932885906038E-2"/>
    <n v="5.1929568508902104"/>
    <n v="4.8040210447332568"/>
    <n v="120.09118463208209"/>
    <n v="1.0158947167834664"/>
  </r>
  <r>
    <s v="MR278"/>
    <s v="P. blochii"/>
    <d v="2014-03-29T00:00:00"/>
    <x v="2"/>
    <n v="255"/>
    <n v="233"/>
    <n v="362.5"/>
    <x v="0"/>
    <x v="0"/>
    <n v="16.5"/>
    <x v="2"/>
    <n v="4.7687861271676298E-2"/>
    <n v="5.5412635451584258"/>
    <n v="5.8930244742947293"/>
    <n v="327.85124388098313"/>
    <n v="1.1056843820656514"/>
  </r>
  <r>
    <s v="MR279"/>
    <s v="P. blochii"/>
    <d v="2015-07-26T00:00:00"/>
    <x v="0"/>
    <n v="232"/>
    <n v="218"/>
    <n v="305.8"/>
    <x v="1"/>
    <x v="2"/>
    <n v="15"/>
    <x v="2"/>
    <n v="5.15818431911967E-2"/>
    <n v="5.4467373716663099"/>
    <n v="5.7229312934949617"/>
    <n v="249.63576233205887"/>
    <n v="1.2249847423432583"/>
  </r>
  <r>
    <s v="MR279"/>
    <s v="P. blochii"/>
    <d v="2014-04-29T00:00:00"/>
    <x v="1"/>
    <n v="241"/>
    <n v="223"/>
    <n v="406.4"/>
    <x v="0"/>
    <x v="0"/>
    <n v="12.8"/>
    <x v="2"/>
    <n v="3.2520325203252036E-2"/>
    <n v="5.4847969334906548"/>
    <n v="6.0073378962642723"/>
    <n v="278.59078065338855"/>
    <n v="1.4587704555292751"/>
  </r>
  <r>
    <s v="MR280"/>
    <s v="P. blochii"/>
    <d v="2015-07-26T00:00:00"/>
    <x v="0"/>
    <n v="187"/>
    <m/>
    <n v="134.5"/>
    <x v="1"/>
    <x v="7"/>
    <n v="0.19"/>
    <x v="4"/>
    <n v="1.4146377782741418E-3"/>
    <n v="5.2311086168545868"/>
    <n v="4.9015641990418937"/>
    <n v="134.05608433119815"/>
    <n v="1.0033114175385365"/>
  </r>
  <r>
    <s v="MR281"/>
    <s v="P. blochii"/>
    <d v="2014-04-29T00:00:00"/>
    <x v="1"/>
    <n v="232"/>
    <n v="191"/>
    <n v="355"/>
    <x v="1"/>
    <x v="0"/>
    <n v="23.6"/>
    <x v="1"/>
    <n v="7.1213035606517816E-2"/>
    <n v="5.4467373716663099"/>
    <n v="5.872117789475416"/>
    <n v="249.63576233205887"/>
    <n v="1.4220718885933836"/>
  </r>
  <r>
    <s v="MR281"/>
    <s v="P. blochii"/>
    <d v="2015-07-26T00:00:00"/>
    <x v="0"/>
    <n v="297"/>
    <n v="270"/>
    <n v="572"/>
    <x v="0"/>
    <x v="2"/>
    <n v="40.68"/>
    <x v="0"/>
    <n v="7.6564029210268753E-2"/>
    <n v="5.6937321388026998"/>
    <n v="6.3491389913797978"/>
    <n v="508.86788217280053"/>
    <n v="1.1240638681255211"/>
  </r>
  <r>
    <s v="MR282"/>
    <s v="P. blochii"/>
    <d v="2013-04-29T00:00:00"/>
    <x v="1"/>
    <n v="235"/>
    <n v="214"/>
    <n v="302"/>
    <x v="0"/>
    <x v="0"/>
    <n v="14.5"/>
    <x v="1"/>
    <n v="5.0434782608695654E-2"/>
    <n v="5.4595855141441589"/>
    <n v="5.7104270173748697"/>
    <n v="259.05730203203751"/>
    <n v="1.1657652481945935"/>
  </r>
  <r>
    <s v="MR282"/>
    <s v="P. blochii"/>
    <d v="2015-07-26T00:00:00"/>
    <x v="0"/>
    <n v="255"/>
    <n v="233"/>
    <n v="326"/>
    <x v="1"/>
    <x v="0"/>
    <n v="23.06"/>
    <x v="0"/>
    <n v="7.6120683963821212E-2"/>
    <n v="5.5412635451584258"/>
    <n v="5.7868973813667077"/>
    <n v="327.85124388098313"/>
    <n v="0.99435340290593754"/>
  </r>
  <r>
    <s v="MR283"/>
    <s v="P. blochii"/>
    <d v="2014-01-23T00:00:00"/>
    <x v="2"/>
    <n v="250"/>
    <n v="225"/>
    <n v="318"/>
    <x v="0"/>
    <x v="1"/>
    <n v="3"/>
    <x v="2"/>
    <n v="9.5238095238095247E-3"/>
    <n v="5.521460917862246"/>
    <n v="5.7620513827801769"/>
    <n v="309.65569558397874"/>
    <n v="1.0269470400028804"/>
  </r>
  <r>
    <s v="MR283"/>
    <s v="P. blochii"/>
    <d v="2015-07-26T00:00:00"/>
    <x v="0"/>
    <n v="275"/>
    <n v="240"/>
    <n v="398.76"/>
    <x v="0"/>
    <x v="2"/>
    <n v="23.92"/>
    <x v="2"/>
    <n v="6.3813893928075988E-2"/>
    <n v="5.6167710976665717"/>
    <n v="5.9883597321545032"/>
    <n v="407.59690297976448"/>
    <n v="0.97831950411015955"/>
  </r>
  <r>
    <s v="MR284"/>
    <s v="P. blochii"/>
    <d v="2015-07-26T00:00:00"/>
    <x v="0"/>
    <n v="180"/>
    <n v="160"/>
    <n v="124.05"/>
    <x v="0"/>
    <x v="4"/>
    <n v="0.14000000000000001"/>
    <x v="1"/>
    <n v="1.1298523121620531E-3"/>
    <n v="5.1929568508902104"/>
    <n v="4.8206847101378099"/>
    <n v="120.09118463208209"/>
    <n v="1.0329650788277787"/>
  </r>
  <r>
    <s v="MR284"/>
    <s v="P. blochii"/>
    <d v="2014-06-16T00:00:00"/>
    <x v="1"/>
    <n v="248"/>
    <n v="220"/>
    <n v="324.5"/>
    <x v="1"/>
    <x v="0"/>
    <n v="23"/>
    <x v="2"/>
    <n v="7.6285240464344942E-2"/>
    <n v="5.5134287461649825"/>
    <n v="5.782285536144145"/>
    <n v="302.56648270149668"/>
    <n v="1.0724915631852794"/>
  </r>
  <r>
    <s v="MR285"/>
    <s v="P. blochii"/>
    <d v="2015-07-26T00:00:00"/>
    <x v="0"/>
    <n v="179"/>
    <n v="158"/>
    <n v="119.36"/>
    <x v="0"/>
    <x v="4"/>
    <n v="0.97"/>
    <x v="2"/>
    <n v="8.1932595658417099E-3"/>
    <n v="5.1873858058407549"/>
    <n v="4.7821441364554511"/>
    <n v="118.17750298165524"/>
    <n v="1.0100061093567725"/>
  </r>
  <r>
    <s v="MR285"/>
    <s v="P. blochii"/>
    <d v="2014-06-16T00:00:00"/>
    <x v="1"/>
    <n v="272"/>
    <n v="254"/>
    <n v="379"/>
    <x v="1"/>
    <x v="0"/>
    <n v="28.5"/>
    <x v="0"/>
    <n v="8.1312410841654775E-2"/>
    <n v="5.6058020662959978"/>
    <n v="5.9375362050824263"/>
    <n v="394.90710594499711"/>
    <n v="0.95971937271948538"/>
  </r>
  <r>
    <s v="MR286"/>
    <s v="P. blochii"/>
    <d v="2015-07-26T00:00:00"/>
    <x v="0"/>
    <n v="177"/>
    <n v="162"/>
    <n v="111.5"/>
    <x v="1"/>
    <x v="4"/>
    <n v="1.9"/>
    <x v="1"/>
    <n v="1.7335766423357664E-2"/>
    <n v="5.1761497325738288"/>
    <n v="4.7140245909001735"/>
    <n v="114.41013029628078"/>
    <n v="0.97456405050195638"/>
  </r>
  <r>
    <s v="MR286"/>
    <s v="P. blochii"/>
    <d v="2014-06-16T00:00:00"/>
    <x v="1"/>
    <n v="254"/>
    <n v="234"/>
    <n v="328.5"/>
    <x v="0"/>
    <x v="0"/>
    <n v="17"/>
    <x v="0"/>
    <n v="5.4574638844301769E-2"/>
    <n v="5.5373342670185366"/>
    <n v="5.7945368379246656"/>
    <n v="324.15775239082603"/>
    <n v="1.0133954766688371"/>
  </r>
  <r>
    <s v="MR287"/>
    <s v="P. blochii"/>
    <d v="2015-07-16T00:00:00"/>
    <x v="0"/>
    <n v="184"/>
    <n v="175"/>
    <n v="123"/>
    <x v="1"/>
    <x v="5"/>
    <n v="0.06"/>
    <x v="1"/>
    <n v="4.880429477794046E-4"/>
    <n v="5.2149357576089859"/>
    <n v="4.8121843553724171"/>
    <n v="127.94818499607396"/>
    <n v="0.96132664956344793"/>
  </r>
  <r>
    <s v="MR287"/>
    <s v="P. blochii"/>
    <d v="2014-06-16T00:00:00"/>
    <x v="1"/>
    <n v="246"/>
    <n v="226"/>
    <n v="332.9"/>
    <x v="1"/>
    <x v="0"/>
    <n v="24.8"/>
    <x v="2"/>
    <n v="8.0493346316131142E-2"/>
    <n v="5.5053315359323625"/>
    <n v="5.8078421445809791"/>
    <n v="295.58413246008666"/>
    <n v="1.1262444882590312"/>
  </r>
  <r>
    <s v="MR288"/>
    <s v="P. blochii"/>
    <d v="2015-07-26T00:00:00"/>
    <x v="0"/>
    <n v="172"/>
    <n v="147"/>
    <n v="95.2"/>
    <x v="1"/>
    <x v="5"/>
    <n v="0.11"/>
    <x v="4"/>
    <n v="1.1567988221684719E-3"/>
    <n v="5.1474944768134527"/>
    <n v="4.5559799417973199"/>
    <n v="105.33702470246961"/>
    <n v="0.90376579620411523"/>
  </r>
  <r>
    <s v="MR288"/>
    <s v="P. blochii"/>
    <d v="2014-01-23T00:00:00"/>
    <x v="2"/>
    <n v="264"/>
    <n v="241"/>
    <n v="398"/>
    <x v="0"/>
    <x v="0"/>
    <n v="6.5"/>
    <x v="1"/>
    <n v="1.6602809706257982E-2"/>
    <n v="5.575949103146316"/>
    <n v="5.9864520052844377"/>
    <n v="362.33617149040566"/>
    <n v="1.0984274585749954"/>
  </r>
  <r>
    <s v="MR289"/>
    <s v="P. blochii"/>
    <d v="2015-07-26T00:00:00"/>
    <x v="0"/>
    <n v="172"/>
    <n v="158"/>
    <n v="119.6"/>
    <x v="1"/>
    <x v="4"/>
    <n v="0.19"/>
    <x v="4"/>
    <n v="1.5911565195544763E-3"/>
    <n v="5.1474944768134527"/>
    <n v="4.7841528415165318"/>
    <n v="105.33702470246961"/>
    <n v="1.1354032481723968"/>
  </r>
  <r>
    <s v="MR289"/>
    <s v="P. blochii"/>
    <d v="2014-01-23T00:00:00"/>
    <x v="2"/>
    <n v="251"/>
    <n v="230"/>
    <n v="349"/>
    <x v="1"/>
    <x v="5"/>
    <n v="0.1"/>
    <x v="2"/>
    <n v="2.8661507595299519E-4"/>
    <n v="5.5254529391317835"/>
    <n v="5.855071922202427"/>
    <n v="313.24061334248506"/>
    <n v="1.1141594835865585"/>
  </r>
  <r>
    <s v="MR290"/>
    <s v="P. blochii"/>
    <d v="2014-07-26T00:00:00"/>
    <x v="0"/>
    <n v="175"/>
    <n v="162"/>
    <n v="115"/>
    <x v="0"/>
    <x v="5"/>
    <n v="0.24"/>
    <x v="1"/>
    <n v="2.0913210177762286E-3"/>
    <n v="5.1647859739235145"/>
    <n v="4.7449321283632502"/>
    <n v="110.72208554830483"/>
    <n v="1.0386365053594375"/>
  </r>
  <r>
    <s v="MR291"/>
    <s v="P. blochii"/>
    <d v="2015-07-26T00:00:00"/>
    <x v="0"/>
    <n v="190"/>
    <n v="170"/>
    <n v="109.5"/>
    <x v="0"/>
    <x v="4"/>
    <n v="0.28000000000000003"/>
    <x v="2"/>
    <n v="2.5636330342428131E-3"/>
    <n v="5.2470240721604862"/>
    <n v="4.6959245492565556"/>
    <n v="140.35135086611592"/>
    <n v="0.78018486693764943"/>
  </r>
  <r>
    <s v="MR291"/>
    <s v="P. blochii"/>
    <d v="2014-03-29T00:00:00"/>
    <x v="2"/>
    <n v="190"/>
    <n v="170"/>
    <n v="139"/>
    <x v="0"/>
    <x v="4"/>
    <n v="0.5"/>
    <x v="1"/>
    <n v="3.6101083032490976E-3"/>
    <n v="5.2470240721604862"/>
    <n v="4.9344739331306915"/>
    <n v="140.35135086611592"/>
    <n v="0.99037165757381984"/>
  </r>
  <r>
    <s v="MR292"/>
    <s v="P. blochii"/>
    <d v="2015-07-26T00:00:00"/>
    <x v="0"/>
    <n v="174"/>
    <n v="161"/>
    <n v="120"/>
    <x v="1"/>
    <x v="4"/>
    <n v="0.15"/>
    <x v="2"/>
    <n v="1.2515644555694619E-3"/>
    <n v="5.1590552992145291"/>
    <n v="4.7874917427820458"/>
    <n v="108.9075635751075"/>
    <n v="1.1018518462883677"/>
  </r>
  <r>
    <s v="MR292"/>
    <s v="P. blochii"/>
    <d v="2014-03-29T00:00:00"/>
    <x v="2"/>
    <n v="211"/>
    <n v="199"/>
    <n v="217.5"/>
    <x v="0"/>
    <x v="4"/>
    <n v="8.5"/>
    <x v="2"/>
    <n v="4.0669856459330141E-2"/>
    <n v="5.3518581334760666"/>
    <n v="5.3821988505287388"/>
    <n v="189.88674224061299"/>
    <n v="1.1454196192612391"/>
  </r>
  <r>
    <s v="MR293"/>
    <s v="P. blochii"/>
    <d v="2015-07-26T00:00:00"/>
    <x v="0"/>
    <n v="162"/>
    <n v="148"/>
    <n v="84.5"/>
    <x v="1"/>
    <x v="5"/>
    <n v="0.15"/>
    <x v="1"/>
    <n v="1.7783046828689982E-3"/>
    <n v="5.0875963352323836"/>
    <n v="4.4367515343631281"/>
    <n v="88.628588315654397"/>
    <n v="0.95341696856379732"/>
  </r>
  <r>
    <s v="MR293"/>
    <s v="P. blochii"/>
    <d v="2014-06-16T00:00:00"/>
    <x v="1"/>
    <n v="265"/>
    <n v="245"/>
    <n v="342"/>
    <x v="1"/>
    <x v="0"/>
    <n v="20.9"/>
    <x v="2"/>
    <n v="6.508875739644969E-2"/>
    <n v="5.579729825986222"/>
    <n v="5.8348107370626048"/>
    <n v="366.30773273526648"/>
    <n v="0.93364122413207729"/>
  </r>
  <r>
    <s v="MR294"/>
    <s v="P. blochii"/>
    <d v="2014-06-16T00:00:00"/>
    <x v="1"/>
    <n v="260"/>
    <n v="225"/>
    <n v="268"/>
    <x v="0"/>
    <x v="0"/>
    <n v="11"/>
    <x v="0"/>
    <n v="4.2801556420233464E-2"/>
    <n v="5.5606816310155276"/>
    <n v="5.5909869805108565"/>
    <n v="346.73130840801252"/>
    <n v="0.77293279695594652"/>
  </r>
  <r>
    <s v="MR295"/>
    <s v="P. blochii"/>
    <d v="2014-05-16T00:00:00"/>
    <x v="1"/>
    <n v="250"/>
    <n v="205"/>
    <n v="370.5"/>
    <x v="1"/>
    <x v="0"/>
    <n v="22.5"/>
    <x v="2"/>
    <n v="6.4655172413793108E-2"/>
    <n v="5.521460917862246"/>
    <n v="5.9148534447361412"/>
    <n v="309.65569558397874"/>
    <n v="1.1964901833995825"/>
  </r>
  <r>
    <s v="MR296"/>
    <s v="P. blochii"/>
    <d v="2014-07-26T00:00:00"/>
    <x v="0"/>
    <n v="180"/>
    <n v="170"/>
    <n v="123"/>
    <x v="0"/>
    <x v="4"/>
    <n v="0.23"/>
    <x v="4"/>
    <n v="1.8734218457277837E-3"/>
    <n v="5.1929568508902104"/>
    <n v="4.8121843553724171"/>
    <n v="120.09118463208209"/>
    <n v="1.0242217226587407"/>
  </r>
  <r>
    <s v="MR296"/>
    <s v="P. blochii"/>
    <d v="2014-04-29T00:00:00"/>
    <x v="1"/>
    <n v="212"/>
    <n v="195"/>
    <n v="195.2"/>
    <x v="1"/>
    <x v="7"/>
    <n v="4"/>
    <x v="2"/>
    <n v="2.0920502092050212E-2"/>
    <n v="5.3565862746720123"/>
    <n v="5.2740246739789924"/>
    <n v="192.49322121711643"/>
    <n v="1.01406168365706"/>
  </r>
  <r>
    <s v="MR297"/>
    <s v="P. blochii"/>
    <d v="2015-07-26T00:00:00"/>
    <x v="0"/>
    <n v="170"/>
    <m/>
    <n v="129.9"/>
    <x v="0"/>
    <x v="5"/>
    <n v="0.1"/>
    <x v="1"/>
    <n v="7.7041602465331282E-4"/>
    <n v="5.1357984370502621"/>
    <n v="4.8667649236765538"/>
    <n v="101.8438308470236"/>
    <n v="1.2754822645577688"/>
  </r>
  <r>
    <s v="MR305"/>
    <s v="P. blochii"/>
    <d v="2016-03-18T00:00:00"/>
    <x v="2"/>
    <n v="197"/>
    <n v="180"/>
    <n v="167"/>
    <x v="0"/>
    <x v="5"/>
    <n v="0"/>
    <x v="0"/>
    <n v="0"/>
    <n v="5.2832037287379885"/>
    <n v="5.1179938124167554"/>
    <n v="155.78384962787788"/>
    <n v="1.0719981589806276"/>
  </r>
  <r>
    <s v="MR306"/>
    <s v="P. blochii"/>
    <d v="2016-03-18T00:00:00"/>
    <x v="2"/>
    <n v="217"/>
    <n v="174"/>
    <n v="208"/>
    <x v="0"/>
    <x v="4"/>
    <n v="1"/>
    <x v="1"/>
    <n v="4.830917874396135E-3"/>
    <n v="5.3798973535404597"/>
    <n v="5.3375380797013179"/>
    <n v="205.87643922507999"/>
    <n v="1.0103147343276049"/>
  </r>
  <r>
    <s v="MR308"/>
    <s v="P. blochii"/>
    <d v="2016-03-18T00:00:00"/>
    <x v="2"/>
    <n v="204"/>
    <n v="187"/>
    <n v="162"/>
    <x v="0"/>
    <x v="4"/>
    <n v="0.01"/>
    <x v="1"/>
    <n v="6.1732205691709363E-5"/>
    <n v="5.3181199938442161"/>
    <n v="5.0875963352323836"/>
    <n v="172.2844929956706"/>
    <n v="0.94030517304927119"/>
  </r>
  <r>
    <s v="MR309"/>
    <s v="P. blochii"/>
    <d v="2016-03-18T00:00:00"/>
    <x v="2"/>
    <n v="225"/>
    <n v="206"/>
    <n v="208"/>
    <x v="0"/>
    <x v="5"/>
    <n v="0.7"/>
    <x v="1"/>
    <n v="3.3767486734201635E-3"/>
    <n v="5.4161004022044201"/>
    <n v="5.3375380797013179"/>
    <n v="228.52924007361699"/>
    <n v="0.91016799396434422"/>
  </r>
  <r>
    <s v="MR310"/>
    <s v="P. blochii"/>
    <d v="2016-03-18T00:00:00"/>
    <x v="2"/>
    <n v="149"/>
    <n v="128"/>
    <n v="63"/>
    <x v="3"/>
    <x v="5"/>
    <n v="0.4"/>
    <x v="2"/>
    <n v="6.3897763578274766E-3"/>
    <n v="5.0039463059454592"/>
    <n v="4.1431347263915326"/>
    <n v="69.634330942301716"/>
    <n v="0.90472614797148188"/>
  </r>
  <r>
    <s v="MR311"/>
    <s v="P. blochii"/>
    <d v="2016-03-18T00:00:00"/>
    <x v="2"/>
    <n v="273"/>
    <n v="249"/>
    <n v="415"/>
    <x v="1"/>
    <x v="0"/>
    <n v="29.5"/>
    <x v="1"/>
    <n v="7.6523994811932561E-2"/>
    <n v="5.6094717951849598"/>
    <n v="6.0282785202306979"/>
    <n v="399.10792563575109"/>
    <n v="1.039818989660338"/>
  </r>
  <r>
    <s v="MR313"/>
    <s v="P. blochii"/>
    <d v="2016-04-27T00:00:00"/>
    <x v="1"/>
    <n v="196"/>
    <n v="184"/>
    <n v="150"/>
    <x v="0"/>
    <x v="4"/>
    <n v="1"/>
    <x v="2"/>
    <n v="6.7114093959731542E-3"/>
    <n v="5.2781146592305168"/>
    <n v="5.0106352940962555"/>
    <n v="153.51459248781111"/>
    <n v="0.97710580843908912"/>
  </r>
  <r>
    <s v="MR315"/>
    <s v="P. blochii"/>
    <d v="2016-05-30T00:00:00"/>
    <x v="1"/>
    <n v="205"/>
    <n v="190"/>
    <n v="185"/>
    <x v="0"/>
    <x v="4"/>
    <n v="1"/>
    <x v="2"/>
    <n v="5.434782608695652E-3"/>
    <n v="5.3230099791384085"/>
    <n v="5.2203558250783244"/>
    <n v="174.73087602890504"/>
    <n v="1.0587710896006506"/>
  </r>
  <r>
    <s v="MR316"/>
    <s v="P. blochii"/>
    <d v="2016-05-30T00:00:00"/>
    <x v="1"/>
    <n v="225"/>
    <n v="208"/>
    <n v="233"/>
    <x v="1"/>
    <x v="2"/>
    <n v="10"/>
    <x v="0"/>
    <n v="4.4843049327354258E-2"/>
    <n v="5.4161004022044201"/>
    <n v="5.4510384535657002"/>
    <n v="228.52924007361699"/>
    <n v="1.0195631855465972"/>
  </r>
  <r>
    <s v="MR317"/>
    <s v="P. blochii"/>
    <d v="2016-05-30T00:00:00"/>
    <x v="1"/>
    <n v="215"/>
    <n v="197"/>
    <n v="189"/>
    <x v="1"/>
    <x v="0"/>
    <n v="4.5"/>
    <x v="2"/>
    <n v="2.4390243902439025E-2"/>
    <n v="5.3706380281276624"/>
    <n v="5.2417470150596426"/>
    <n v="200.45260008568741"/>
    <n v="0.94286629317458703"/>
  </r>
  <r>
    <s v="MR317"/>
    <s v="P. blochii"/>
    <d v="2016-03-18T00:00:00"/>
    <x v="2"/>
    <n v="261"/>
    <n v="240"/>
    <n v="380"/>
    <x v="1"/>
    <x v="0"/>
    <n v="15"/>
    <x v="1"/>
    <n v="4.1095890410958902E-2"/>
    <n v="5.5645204073226937"/>
    <n v="5.9401712527204316"/>
    <n v="350.5905059657315"/>
    <n v="1.0838855973959065"/>
  </r>
  <r>
    <s v="MR318"/>
    <s v="P. blochii"/>
    <d v="2016-05-30T00:00:00"/>
    <x v="1"/>
    <n v="193"/>
    <n v="169"/>
    <n v="146"/>
    <x v="1"/>
    <x v="4"/>
    <n v="0"/>
    <x v="0"/>
    <n v="0"/>
    <n v="5.2626901889048856"/>
    <n v="4.9836066217083363"/>
    <n v="146.83663755895864"/>
    <n v="0.99430225607949707"/>
  </r>
  <r>
    <s v="MR320"/>
    <s v="P. blochii"/>
    <d v="2016-06-22T00:00:00"/>
    <x v="1"/>
    <n v="298"/>
    <n v="261"/>
    <n v="492"/>
    <x v="1"/>
    <x v="0"/>
    <n v="38.5"/>
    <x v="2"/>
    <n v="8.4895259095920619E-2"/>
    <n v="5.6970934865054046"/>
    <n v="6.1984787164923079"/>
    <n v="513.82386942363644"/>
    <n v="0.95752655584467772"/>
  </r>
  <r>
    <s v="MR321"/>
    <s v="P. blochii"/>
    <d v="2016-06-22T00:00:00"/>
    <x v="1"/>
    <n v="228"/>
    <n v="222"/>
    <n v="243"/>
    <x v="1"/>
    <x v="1"/>
    <n v="0.5"/>
    <x v="2"/>
    <n v="2.0618556701030928E-3"/>
    <n v="5.4293456289544411"/>
    <n v="5.4930614433405482"/>
    <n v="237.42588160835047"/>
    <n v="1.023477298910674"/>
  </r>
  <r>
    <s v="MR322"/>
    <s v="P. blochii"/>
    <d v="2016-06-22T00:00:00"/>
    <x v="1"/>
    <n v="303"/>
    <n v="283"/>
    <n v="557"/>
    <x v="0"/>
    <x v="3"/>
    <n v="28"/>
    <x v="2"/>
    <n v="5.2930056710775046E-2"/>
    <n v="5.7137328055093688"/>
    <n v="6.3225652399272843"/>
    <n v="539.0769940174946"/>
    <n v="1.0332475809233361"/>
  </r>
  <r>
    <s v="MR323"/>
    <s v="P. blochii"/>
    <d v="2015-04-19T00:00:00"/>
    <x v="1"/>
    <n v="280"/>
    <n v="246"/>
    <n v="437"/>
    <x v="1"/>
    <x v="2"/>
    <n v="21.5"/>
    <x v="2"/>
    <n v="5.1744885679903728E-2"/>
    <n v="5.6347896031692493"/>
    <n v="6.0799331950955899"/>
    <n v="429.33320559939682"/>
    <n v="1.0178574456869682"/>
  </r>
  <r>
    <s v="MR324"/>
    <s v="P. blochii"/>
    <d v="2016-06-22T00:00:00"/>
    <x v="1"/>
    <n v="210"/>
    <n v="169"/>
    <n v="177"/>
    <x v="0"/>
    <x v="4"/>
    <n v="1.5"/>
    <x v="1"/>
    <n v="8.5470085470085479E-3"/>
    <n v="5.3471075307174685"/>
    <n v="5.1761497325738288"/>
    <n v="187.30342538632442"/>
    <n v="0.9449907263304288"/>
  </r>
  <r>
    <s v="MR325"/>
    <s v="P. blochii"/>
    <d v="2015-04-19T00:00:00"/>
    <x v="1"/>
    <n v="227"/>
    <n v="184"/>
    <n v="244"/>
    <x v="0"/>
    <x v="2"/>
    <n v="14.5"/>
    <x v="0"/>
    <n v="6.3180827886710242E-2"/>
    <n v="5.4249500174814029"/>
    <n v="5.4971682252932021"/>
    <n v="234.43565945629453"/>
    <n v="1.0407972940886518"/>
  </r>
  <r>
    <s v="MR327"/>
    <s v="P. blochii"/>
    <d v="2016-05-30T00:00:00"/>
    <x v="1"/>
    <n v="309"/>
    <n v="280"/>
    <n v="638"/>
    <x v="0"/>
    <x v="2"/>
    <n v="47"/>
    <x v="2"/>
    <n v="7.952622673434856E-2"/>
    <n v="5.7333412768977459"/>
    <n v="6.4583382833447898"/>
    <n v="570.43403552815892"/>
    <n v="1.1184465867456217"/>
  </r>
  <r>
    <s v="MR328"/>
    <s v="P. blochii"/>
    <d v="2016-06-22T00:00:00"/>
    <x v="1"/>
    <n v="174"/>
    <n v="156"/>
    <n v="96"/>
    <x v="0"/>
    <x v="4"/>
    <n v="0.01"/>
    <x v="2"/>
    <n v="1.0417751849150954E-4"/>
    <n v="5.1590552992145291"/>
    <n v="4.5643481914678361"/>
    <n v="108.9075635751075"/>
    <n v="0.88148147703069424"/>
  </r>
  <r>
    <s v="MR329"/>
    <s v="P. blochii"/>
    <d v="2016-06-22T00:00:00"/>
    <x v="1"/>
    <n v="150"/>
    <n v="135"/>
    <n v="65"/>
    <x v="3"/>
    <x v="5"/>
    <n v="0.2"/>
    <x v="1"/>
    <n v="3.08641975308642E-3"/>
    <n v="5.0106352940962555"/>
    <n v="4.1743872698956368"/>
    <n v="70.990407094826409"/>
    <n v="0.91561666794184404"/>
  </r>
  <r>
    <s v="MR329"/>
    <s v="P. blochii"/>
    <d v="2016-06-22T00:00:00"/>
    <x v="1"/>
    <n v="171"/>
    <n v="157"/>
    <n v="91"/>
    <x v="0"/>
    <x v="5"/>
    <n v="0.1"/>
    <x v="0"/>
    <n v="1.1001100110011001E-3"/>
    <n v="5.1416635565026603"/>
    <n v="4.5108595065168497"/>
    <n v="103.58080931225892"/>
    <n v="0.87854111784034916"/>
  </r>
  <r>
    <s v="MR330"/>
    <s v="P. blochii"/>
    <d v="2016-06-22T00:00:00"/>
    <x v="1"/>
    <n v="230"/>
    <n v="211"/>
    <n v="241"/>
    <x v="0"/>
    <x v="4"/>
    <n v="1.5"/>
    <x v="1"/>
    <n v="6.2630480167014616E-3"/>
    <n v="5.4380793089231956"/>
    <n v="5.4847969334906548"/>
    <n v="243.4808314659586"/>
    <n v="0.98981097833853315"/>
  </r>
  <r>
    <s v="MR331"/>
    <s v="P. blochii"/>
    <d v="2016-06-22T00:00:00"/>
    <x v="1"/>
    <n v="165"/>
    <n v="150"/>
    <n v="93"/>
    <x v="1"/>
    <x v="5"/>
    <n v="0"/>
    <x v="1"/>
    <n v="0"/>
    <n v="5.1059454739005803"/>
    <n v="4.5325994931532563"/>
    <n v="93.444010511592651"/>
    <n v="0.99524837911855712"/>
  </r>
  <r>
    <s v="MR332"/>
    <s v="P. blochii"/>
    <d v="2016-06-22T00:00:00"/>
    <x v="1"/>
    <n v="152"/>
    <n v="142"/>
    <n v="74"/>
    <x v="0"/>
    <x v="5"/>
    <n v="0.2"/>
    <x v="0"/>
    <n v="2.7100271002710031E-3"/>
    <n v="5.0238805208462765"/>
    <n v="4.3040650932041702"/>
    <n v="73.754063089674247"/>
    <n v="1.0033345540574046"/>
  </r>
  <r>
    <s v="MR333"/>
    <s v="P. blochii"/>
    <d v="2015-04-19T00:00:00"/>
    <x v="1"/>
    <n v="280"/>
    <n v="259"/>
    <n v="485"/>
    <x v="0"/>
    <x v="0"/>
    <n v="29"/>
    <x v="1"/>
    <n v="6.3596491228070179E-2"/>
    <n v="5.6347896031692493"/>
    <n v="6.1841488909374833"/>
    <n v="429.33320559939682"/>
    <n v="1.1296587211857656"/>
  </r>
  <r>
    <s v="MR334"/>
    <s v="P. blochii"/>
    <d v="2015-04-19T00:00:00"/>
    <x v="1"/>
    <n v="284"/>
    <n v="265"/>
    <n v="545.5"/>
    <x v="0"/>
    <x v="2"/>
    <n v="32.5"/>
    <x v="2"/>
    <n v="6.3352826510721244E-2"/>
    <n v="5.6489742381612063"/>
    <n v="6.3017028052731252"/>
    <n v="447.25698643072832"/>
    <n v="1.2196567444441422"/>
  </r>
  <r>
    <s v="MR335"/>
    <s v="P. blochii"/>
    <d v="2015-04-19T00:00:00"/>
    <x v="1"/>
    <n v="288"/>
    <n v="276"/>
    <n v="534"/>
    <x v="1"/>
    <x v="0"/>
    <n v="32"/>
    <x v="1"/>
    <n v="6.3745019920318724E-2"/>
    <n v="5.6629604801359461"/>
    <n v="6.280395838960195"/>
    <n v="465.66259122555317"/>
    <n v="1.146753056960391"/>
  </r>
  <r>
    <s v="MR336"/>
    <s v="P. blochii"/>
    <d v="2016-05-30T00:00:00"/>
    <x v="1"/>
    <n v="287"/>
    <n v="257"/>
    <n v="481"/>
    <x v="0"/>
    <x v="2"/>
    <n v="23"/>
    <x v="0"/>
    <n v="5.0218340611353711E-2"/>
    <n v="5.6594822157596214"/>
    <n v="6.1758672701057611"/>
    <n v="461.0156912785514"/>
    <n v="1.0433484349871593"/>
  </r>
  <r>
    <s v="MR337"/>
    <s v="P. blochii"/>
    <d v="2016-05-30T00:00:00"/>
    <x v="1"/>
    <n v="257"/>
    <n v="238"/>
    <n v="327"/>
    <x v="1"/>
    <x v="0"/>
    <n v="14.5"/>
    <x v="2"/>
    <n v="4.6399999999999997E-2"/>
    <n v="5.5490760848952201"/>
    <n v="5.7899601708972535"/>
    <n v="335.32046390332602"/>
    <n v="0.97518653109783116"/>
  </r>
  <r>
    <s v="MR338"/>
    <s v="P. blochii"/>
    <d v="2016-05-30T00:00:00"/>
    <x v="1"/>
    <n v="213"/>
    <n v="171"/>
    <n v="177"/>
    <x v="1"/>
    <x v="4"/>
    <n v="0"/>
    <x v="2"/>
    <n v="0"/>
    <n v="5.3612921657094255"/>
    <n v="5.1761497325738288"/>
    <n v="195.12295926303747"/>
    <n v="0.90712031361411127"/>
  </r>
  <r>
    <s v="MR339"/>
    <s v="P. blochii"/>
    <d v="2016-05-30T00:00:00"/>
    <x v="1"/>
    <n v="201"/>
    <n v="185"/>
    <n v="184"/>
    <x v="1"/>
    <x v="1"/>
    <n v="2.5"/>
    <x v="2"/>
    <n v="1.3774104683195593E-2"/>
    <n v="5.3033049080590757"/>
    <n v="5.2149357576089859"/>
    <n v="165.07984615498941"/>
    <n v="1.1146121364036583"/>
  </r>
  <r>
    <s v="MR340"/>
    <s v="P. blochii"/>
    <d v="2016-05-30T00:00:00"/>
    <x v="1"/>
    <n v="195"/>
    <n v="183"/>
    <n v="186.5"/>
    <x v="0"/>
    <x v="4"/>
    <n v="1"/>
    <x v="2"/>
    <n v="5.3908355795148251E-3"/>
    <n v="5.2729995585637468"/>
    <n v="5.2284312390838705"/>
    <n v="151.26703666639025"/>
    <n v="1.232918976335299"/>
  </r>
  <r>
    <s v="MR341"/>
    <s v="P. blochii"/>
    <d v="2016-05-30T00:00:00"/>
    <x v="1"/>
    <n v="218"/>
    <n v="171"/>
    <n v="202"/>
    <x v="0"/>
    <x v="1"/>
    <n v="7"/>
    <x v="0"/>
    <n v="3.5897435897435895E-2"/>
    <n v="5.3844950627890888"/>
    <n v="5.3082676974012051"/>
    <n v="208.62392497014221"/>
    <n v="0.96824944708000193"/>
  </r>
  <r>
    <s v="MR342"/>
    <s v="P. blochii"/>
    <d v="2016-05-30T00:00:00"/>
    <x v="1"/>
    <n v="235"/>
    <n v="210"/>
    <n v="247"/>
    <x v="0"/>
    <x v="0"/>
    <n v="19"/>
    <x v="2"/>
    <n v="8.3333333333333329E-2"/>
    <n v="5.4595855141441589"/>
    <n v="5.5093883366279774"/>
    <n v="259.05730203203751"/>
    <n v="0.95345700762935304"/>
  </r>
  <r>
    <s v="MR343"/>
    <s v="P. blochii"/>
    <d v="2016-05-30T00:00:00"/>
    <x v="1"/>
    <n v="230"/>
    <n v="205"/>
    <n v="253"/>
    <x v="0"/>
    <x v="4"/>
    <n v="1"/>
    <x v="2"/>
    <n v="3.968253968253968E-3"/>
    <n v="5.4380793089231956"/>
    <n v="5.5333894887275203"/>
    <n v="243.4808314659586"/>
    <n v="1.0390961722807008"/>
  </r>
  <r>
    <s v="MR344"/>
    <s v="P. blochii"/>
    <d v="2013-09-30T00:00:00"/>
    <x v="0"/>
    <n v="275"/>
    <n v="253"/>
    <n v="535"/>
    <x v="1"/>
    <x v="2"/>
    <n v="53"/>
    <x v="0"/>
    <n v="0.10995850622406639"/>
    <n v="5.6167710976665717"/>
    <n v="6.2822667468960063"/>
    <n v="407.59690297976448"/>
    <n v="1.3125713078015231"/>
  </r>
  <r>
    <s v="MR346"/>
    <s v="P. blochii"/>
    <d v="2016-04-27T00:00:00"/>
    <x v="1"/>
    <n v="203"/>
    <n v="187"/>
    <n v="177"/>
    <x v="0"/>
    <x v="4"/>
    <n v="1"/>
    <x v="2"/>
    <n v="5.681818181818182E-3"/>
    <n v="5.3132059790417872"/>
    <n v="5.1761497325738288"/>
    <n v="169.8605919376291"/>
    <n v="1.0420309854153365"/>
  </r>
  <r>
    <s v="MR349"/>
    <s v="P. blochii"/>
    <d v="2016-04-27T00:00:00"/>
    <x v="1"/>
    <n v="250"/>
    <n v="208"/>
    <n v="329"/>
    <x v="1"/>
    <x v="2"/>
    <n v="9.5"/>
    <x v="1"/>
    <n v="2.9733959311424099E-2"/>
    <n v="5.521460917862246"/>
    <n v="5.7960577507653719"/>
    <n v="309.65569558397874"/>
    <n v="1.062470365285999"/>
  </r>
  <r>
    <s v="MR350"/>
    <s v="P. blochii"/>
    <d v="2016-04-27T00:00:00"/>
    <x v="1"/>
    <n v="281"/>
    <n v="255"/>
    <n v="512"/>
    <x v="0"/>
    <x v="3"/>
    <n v="46"/>
    <x v="0"/>
    <n v="9.8712446351931327E-2"/>
    <n v="5.6383546693337454"/>
    <n v="6.2383246250395077"/>
    <n v="433.76930776427548"/>
    <n v="1.1803509165711596"/>
  </r>
  <r>
    <s v="MR351"/>
    <s v="P. blochii"/>
    <d v="2016-03-18T00:00:00"/>
    <x v="2"/>
    <n v="150"/>
    <n v="137"/>
    <n v="71"/>
    <x v="0"/>
    <x v="5"/>
    <n v="0.2"/>
    <x v="2"/>
    <n v="2.8248587570621473E-3"/>
    <n v="5.0106352940962555"/>
    <n v="4.2626798770413155"/>
    <n v="70.990407094826409"/>
    <n v="1.0001351295980143"/>
  </r>
  <r>
    <s v="MR352"/>
    <s v="P. blochii"/>
    <d v="2016-03-18T00:00:00"/>
    <x v="2"/>
    <n v="155"/>
    <n v="149"/>
    <n v="83.5"/>
    <x v="3"/>
    <x v="5"/>
    <n v="0.2"/>
    <x v="1"/>
    <n v="2.4009603841536617E-3"/>
    <n v="5.0434251169192468"/>
    <n v="4.42484663185681"/>
    <n v="78.029818203681373"/>
    <n v="1.0701037362670742"/>
  </r>
  <r>
    <s v="MR353"/>
    <s v="P. blochii"/>
    <d v="2016-03-18T00:00:00"/>
    <x v="2"/>
    <n v="140"/>
    <n v="131"/>
    <n v="57"/>
    <x v="1"/>
    <x v="5"/>
    <n v="0"/>
    <x v="2"/>
    <n v="0"/>
    <n v="4.9416424226093039"/>
    <n v="4.0430512678345503"/>
    <n v="58.184004874594095"/>
    <n v="0.97965068102228403"/>
  </r>
  <r>
    <s v="MR354"/>
    <s v="P. blochii"/>
    <d v="2016-04-27T00:00:00"/>
    <x v="1"/>
    <n v="210"/>
    <n v="200"/>
    <n v="211"/>
    <x v="1"/>
    <x v="4"/>
    <n v="0"/>
    <x v="1"/>
    <n v="0"/>
    <n v="5.3471075307174685"/>
    <n v="5.3518581334760666"/>
    <n v="187.30342538632442"/>
    <n v="1.126514368676387"/>
  </r>
  <r>
    <s v="MR357"/>
    <s v="P. blochii"/>
    <d v="2016-04-27T00:00:00"/>
    <x v="1"/>
    <n v="223"/>
    <n v="209"/>
    <n v="255"/>
    <x v="1"/>
    <x v="0"/>
    <n v="1.5"/>
    <x v="1"/>
    <n v="5.9171597633136093E-3"/>
    <n v="5.4071717714601188"/>
    <n v="5.5412635451584258"/>
    <n v="222.72087916610181"/>
    <n v="1.1449308253216122"/>
  </r>
  <r>
    <s v="MR358"/>
    <s v="P. blochii"/>
    <d v="2016-03-18T00:00:00"/>
    <x v="2"/>
    <n v="201"/>
    <n v="190"/>
    <n v="190"/>
    <x v="0"/>
    <x v="4"/>
    <n v="0.5"/>
    <x v="4"/>
    <n v="2.6385224274406332E-3"/>
    <n v="5.3033049080590757"/>
    <n v="5.2470240721604862"/>
    <n v="165.07984615498941"/>
    <n v="1.1509581843298646"/>
  </r>
  <r>
    <s v="MR359"/>
    <s v="P. blochii"/>
    <d v="2016-03-18T00:00:00"/>
    <x v="2"/>
    <n v="205"/>
    <n v="185"/>
    <n v="185"/>
    <x v="0"/>
    <x v="4"/>
    <n v="1"/>
    <x v="4"/>
    <n v="5.434782608695652E-3"/>
    <n v="5.3230099791384085"/>
    <n v="5.2203558250783244"/>
    <n v="174.73087602890504"/>
    <n v="1.0587710896006506"/>
  </r>
  <r>
    <s v="MR360"/>
    <s v="P. blochii"/>
    <d v="2016-03-18T00:00:00"/>
    <x v="2"/>
    <n v="208"/>
    <n v="174"/>
    <n v="216"/>
    <x v="1"/>
    <x v="5"/>
    <n v="0.1"/>
    <x v="4"/>
    <n v="4.6317739694302917E-4"/>
    <n v="5.3375380797013179"/>
    <n v="5.3752784076841653"/>
    <n v="182.20588998736662"/>
    <n v="1.1854721052924058"/>
  </r>
  <r>
    <s v="MR361"/>
    <s v="P. blochii"/>
    <d v="2016-06-22T00:00:00"/>
    <x v="1"/>
    <n v="284"/>
    <n v="260"/>
    <n v="420"/>
    <x v="1"/>
    <x v="1"/>
    <n v="8"/>
    <x v="2"/>
    <n v="1.9417475728155338E-2"/>
    <n v="5.6489742381612063"/>
    <n v="6.0402547112774139"/>
    <n v="447.25698643072832"/>
    <n v="0.9390574384354532"/>
  </r>
  <r>
    <s v="MR362"/>
    <s v="P. blochii"/>
    <d v="2016-06-22T00:00:00"/>
    <x v="1"/>
    <n v="280"/>
    <n v="260"/>
    <n v="433.5"/>
    <x v="1"/>
    <x v="2"/>
    <n v="28"/>
    <x v="2"/>
    <n v="6.9050554870530204E-2"/>
    <n v="5.6347896031692493"/>
    <n v="6.0718917962205969"/>
    <n v="429.33320559939682"/>
    <n v="1.0097052693485142"/>
  </r>
  <r>
    <s v="MR363"/>
    <s v="P. blochii"/>
    <d v="2016-06-22T00:00:00"/>
    <x v="1"/>
    <n v="176"/>
    <n v="161"/>
    <n v="104"/>
    <x v="1"/>
    <x v="4"/>
    <n v="0"/>
    <x v="2"/>
    <n v="0"/>
    <n v="5.1704839950381514"/>
    <n v="4.6443908991413725"/>
    <n v="112.55624142888077"/>
    <n v="0.92398252357878286"/>
  </r>
  <r>
    <s v="MR364"/>
    <s v="P. blochii"/>
    <d v="2016-06-22T00:00:00"/>
    <x v="1"/>
    <n v="165"/>
    <n v="155"/>
    <n v="100"/>
    <x v="1"/>
    <x v="4"/>
    <n v="0"/>
    <x v="1"/>
    <n v="0"/>
    <n v="5.1059454739005803"/>
    <n v="4.6051701859880918"/>
    <n v="93.444010511592651"/>
    <n v="1.0701595474393086"/>
  </r>
  <r>
    <s v="MR365"/>
    <s v="P. blochii"/>
    <d v="2016-03-18T00:00:00"/>
    <x v="2"/>
    <n v="258"/>
    <n v="237"/>
    <n v="350"/>
    <x v="1"/>
    <x v="4"/>
    <n v="1.5"/>
    <x v="2"/>
    <n v="4.30416068866571E-3"/>
    <n v="5.5529595849216173"/>
    <n v="5.857933154483459"/>
    <n v="339.0963820606903"/>
    <n v="1.0321549226595941"/>
  </r>
  <r>
    <s v="MR366"/>
    <s v="P. blochii"/>
    <d v="2016-03-18T00:00:00"/>
    <x v="2"/>
    <n v="169"/>
    <n v="154"/>
    <n v="96"/>
    <x v="0"/>
    <x v="4"/>
    <n v="0.2"/>
    <x v="0"/>
    <n v="2.0876826722338207E-3"/>
    <n v="5.1298987149230735"/>
    <n v="4.5643481914678361"/>
    <n v="100.12598989284713"/>
    <n v="0.95879201896268207"/>
  </r>
  <r>
    <s v="MR367"/>
    <s v="P. blochii"/>
    <d v="2012-07-19T00:00:00"/>
    <x v="0"/>
    <n v="192"/>
    <n v="177"/>
    <n v="151"/>
    <x v="0"/>
    <x v="4"/>
    <n v="0.2"/>
    <x v="2"/>
    <n v="1.3262599469496021E-3"/>
    <n v="5.2574953720277815"/>
    <n v="5.0172798368149243"/>
    <n v="144.65359841604865"/>
    <n v="1.0438730985847859"/>
  </r>
  <r>
    <s v="MR368"/>
    <s v="P. blochii"/>
    <d v="2016-03-18T00:00:00"/>
    <x v="2"/>
    <n v="206"/>
    <n v="190"/>
    <n v="181"/>
    <x v="0"/>
    <x v="4"/>
    <n v="0"/>
    <x v="1"/>
    <n v="0"/>
    <n v="5.3278761687895813"/>
    <n v="5.1984970312658261"/>
    <n v="177.19983836573311"/>
    <n v="1.0214456269786405"/>
  </r>
  <r>
    <s v="MR369"/>
    <s v="P. blochii"/>
    <d v="2016-04-27T00:00:00"/>
    <x v="1"/>
    <n v="223"/>
    <n v="204"/>
    <n v="225"/>
    <x v="1"/>
    <x v="4"/>
    <n v="2.5"/>
    <x v="2"/>
    <n v="1.1235955056179775E-2"/>
    <n v="5.4071717714601188"/>
    <n v="5.4161004022044201"/>
    <n v="222.72087916610181"/>
    <n v="1.0102330811661284"/>
  </r>
  <r>
    <s v="MR370"/>
    <s v="P. blochii"/>
    <d v="2016-04-27T00:00:00"/>
    <x v="1"/>
    <n v="198"/>
    <n v="182"/>
    <n v="165"/>
    <x v="1"/>
    <x v="5"/>
    <n v="0.05"/>
    <x v="1"/>
    <n v="3.0312215822976665E-4"/>
    <n v="5.2882670306945352"/>
    <n v="5.1059454739005803"/>
    <n v="158.07490586890444"/>
    <n v="1.0438089404072695"/>
  </r>
  <r>
    <s v="MR371"/>
    <s v="P. blochii"/>
    <d v="2016-04-27T00:00:00"/>
    <x v="1"/>
    <n v="218"/>
    <n v="200"/>
    <n v="233"/>
    <x v="1"/>
    <x v="4"/>
    <n v="0"/>
    <x v="1"/>
    <n v="0"/>
    <n v="5.3844950627890888"/>
    <n v="5.4510384535657002"/>
    <n v="208.62392497014221"/>
    <n v="1.1168421840081211"/>
  </r>
  <r>
    <s v="MR372"/>
    <s v="P. blochii"/>
    <d v="2016-04-27T00:00:00"/>
    <x v="1"/>
    <n v="197"/>
    <n v="184"/>
    <n v="157"/>
    <x v="0"/>
    <x v="4"/>
    <n v="7.6"/>
    <x v="1"/>
    <n v="5.0870147255689419E-2"/>
    <n v="5.2832037287379885"/>
    <n v="5.0562458053483077"/>
    <n v="155.78384962787788"/>
    <n v="1.0078066524548415"/>
  </r>
  <r>
    <s v="MR374"/>
    <s v="P. blochii"/>
    <d v="2016-04-27T00:00:00"/>
    <x v="1"/>
    <n v="237"/>
    <n v="214"/>
    <n v="238"/>
    <x v="1"/>
    <x v="1"/>
    <n v="4"/>
    <x v="0"/>
    <n v="1.7094017094017096E-2"/>
    <n v="5.4680601411351315"/>
    <n v="5.472270673671475"/>
    <n v="265.46554217630569"/>
    <n v="0.89653820246823301"/>
  </r>
  <r>
    <s v="MR375"/>
    <s v="P. blochii"/>
    <d v="2017-02-15T00:00:00"/>
    <x v="2"/>
    <n v="315"/>
    <n v="296"/>
    <n v="660"/>
    <x v="0"/>
    <x v="0"/>
    <s v="30.5"/>
    <x v="1"/>
    <n v="4.8451151707704525E-2"/>
    <n v="5.7525726388256331"/>
    <n v="6.4922398350204711"/>
    <n v="602.95906473033313"/>
    <n v="1.0946016713343183"/>
  </r>
  <r>
    <s v="MR377"/>
    <s v="P. blochii"/>
    <d v="2017-03-21T00:00:00"/>
    <x v="2"/>
    <n v="310"/>
    <n v="290"/>
    <n v="549"/>
    <x v="0"/>
    <x v="0"/>
    <n v="11"/>
    <x v="0"/>
    <n v="2.0446096654275093E-2"/>
    <n v="5.7365722974791922"/>
    <n v="6.3080984415095305"/>
    <n v="575.77322245056951"/>
    <n v="0.95350040361964206"/>
  </r>
  <r>
    <s v="MR378"/>
    <s v="P. blochii"/>
    <d v="2017-03-21T00:00:00"/>
    <x v="2"/>
    <n v="305"/>
    <n v="278"/>
    <n v="446.5"/>
    <x v="1"/>
    <x v="1"/>
    <s v="3.1"/>
    <x v="0"/>
    <n v="6.9914298601714032E-3"/>
    <n v="5.7203117766074119"/>
    <n v="6.1014394003165533"/>
    <n v="549.40080198296255"/>
    <n v="0.8127035825001333"/>
  </r>
  <r>
    <s v="MR379"/>
    <s v="P. blochii"/>
    <d v="2017-03-21T00:00:00"/>
    <x v="2"/>
    <n v="278"/>
    <n v="259"/>
    <n v="354"/>
    <x v="0"/>
    <x v="1"/>
    <s v="7.2"/>
    <x v="0"/>
    <n v="2.0761245674740483E-2"/>
    <n v="5.6276211136906369"/>
    <n v="5.8692969131337742"/>
    <n v="420.55012456834828"/>
    <n v="0.84175459551544496"/>
  </r>
  <r>
    <s v="MR380"/>
    <s v="P. blochii"/>
    <d v="2017-03-21T00:00:00"/>
    <x v="2"/>
    <n v="280"/>
    <n v="257"/>
    <n v="396.2"/>
    <x v="1"/>
    <x v="1"/>
    <s v="3.1"/>
    <x v="2"/>
    <n v="7.8860340880183167E-3"/>
    <n v="5.6347896031692493"/>
    <n v="5.9819191342644507"/>
    <n v="429.33320559939682"/>
    <n v="0.92282636151299036"/>
  </r>
  <r>
    <s v="MR381"/>
    <s v="P. blochii"/>
    <d v="2017-02-15T00:00:00"/>
    <x v="2"/>
    <n v="301"/>
    <n v="279"/>
    <n v="551.5"/>
    <x v="0"/>
    <x v="3"/>
    <s v="21.9"/>
    <x v="2"/>
    <n v="4.1351963746223561E-2"/>
    <n v="5.7071102647488754"/>
    <n v="6.3126418386935574"/>
    <n v="528.88073417430167"/>
    <n v="1.0427681788428387"/>
  </r>
  <r>
    <s v="MR382"/>
    <s v="P. blochii"/>
    <d v="2016-12-18T00:00:00"/>
    <x v="3"/>
    <n v="247"/>
    <n v="225"/>
    <n v="253"/>
    <x v="1"/>
    <x v="1"/>
    <s v="2.8"/>
    <x v="2"/>
    <n v="1.1191047162270184E-2"/>
    <n v="5.5093883366279774"/>
    <n v="5.5333894887275203"/>
    <n v="299.0619973383607"/>
    <n v="0.84597843340741874"/>
  </r>
  <r>
    <s v="MR384"/>
    <s v="P. blochii"/>
    <d v="2017-03-21T00:00:00"/>
    <x v="2"/>
    <n v="294"/>
    <n v="266"/>
    <n v="467.5"/>
    <x v="1"/>
    <x v="1"/>
    <n v="7"/>
    <x v="1"/>
    <n v="1.5200868621064061E-2"/>
    <n v="5.6835797673386814"/>
    <n v="6.1473993487287419"/>
    <n v="494.18751909097284"/>
    <n v="0.94599718111039532"/>
  </r>
  <r>
    <s v="MR385"/>
    <s v="P. blochii"/>
    <d v="2017-03-21T00:00:00"/>
    <x v="2"/>
    <n v="264"/>
    <n v="244"/>
    <n v="343.4"/>
    <x v="1"/>
    <x v="2"/>
    <s v="2.4"/>
    <x v="2"/>
    <n v="7.0381231671554252E-3"/>
    <n v="5.575949103146316"/>
    <n v="5.8388959484633753"/>
    <n v="362.33617149040566"/>
    <n v="0.94773866651922967"/>
  </r>
  <r>
    <s v="MR386"/>
    <s v="P. blochii"/>
    <d v="2017-03-21T00:00:00"/>
    <x v="2"/>
    <n v="230"/>
    <n v="200"/>
    <n v="249"/>
    <x v="1"/>
    <x v="1"/>
    <s v="1.9"/>
    <x v="2"/>
    <n v="7.6891946580331851E-3"/>
    <n v="5.4380793089231956"/>
    <n v="5.5174528964647074"/>
    <n v="243.4808314659586"/>
    <n v="1.0226677742999783"/>
  </r>
  <r>
    <s v="MR387"/>
    <s v="P. blochii"/>
    <d v="2017-02-15T00:00:00"/>
    <x v="2"/>
    <n v="241"/>
    <n v="217"/>
    <n v="275"/>
    <x v="1"/>
    <x v="5"/>
    <n v="0.05"/>
    <x v="1"/>
    <n v="1.8185124568103294E-4"/>
    <n v="5.4847969334906548"/>
    <n v="5.6167710976665717"/>
    <n v="278.59078065338855"/>
    <n v="0.98711091355942593"/>
  </r>
  <r>
    <s v="MR388"/>
    <s v="P. blochii"/>
    <d v="2017-02-15T00:00:00"/>
    <x v="2"/>
    <n v="301"/>
    <n v="279"/>
    <n v="611"/>
    <x v="0"/>
    <x v="0"/>
    <s v="13.5"/>
    <x v="1"/>
    <n v="2.2594142259414227E-2"/>
    <n v="5.7071102647488754"/>
    <n v="6.4150969591715956"/>
    <n v="528.88073417430167"/>
    <n v="1.1552699134596092"/>
  </r>
  <r>
    <s v="MR389"/>
    <s v="P. blochii"/>
    <d v="2017-07-06T00:00:00"/>
    <x v="0"/>
    <n v="281"/>
    <n v="252"/>
    <n v="425.5"/>
    <x v="0"/>
    <x v="2"/>
    <s v="19.5"/>
    <x v="2"/>
    <n v="4.8029556650246302E-2"/>
    <n v="5.6383546693337454"/>
    <n v="6.0532649480134291"/>
    <n v="433.76930776427548"/>
    <n v="0.98093616211138368"/>
  </r>
  <r>
    <s v="MR390"/>
    <s v="P. blochii"/>
    <d v="2017-07-06T00:00:00"/>
    <x v="0"/>
    <n v="276"/>
    <n v="254"/>
    <n v="395"/>
    <x v="1"/>
    <x v="3"/>
    <s v="29.5"/>
    <x v="2"/>
    <n v="8.0711354309165526E-2"/>
    <n v="5.6204008657171496"/>
    <n v="5.978885764901122"/>
    <n v="411.88524876176075"/>
    <n v="0.95900496846507033"/>
  </r>
  <r>
    <s v="MR391"/>
    <s v="P. blochii"/>
    <d v="2017-07-06T00:00:00"/>
    <x v="0"/>
    <n v="285"/>
    <n v="260"/>
    <n v="421.5"/>
    <x v="0"/>
    <x v="2"/>
    <n v="18"/>
    <x v="0"/>
    <n v="4.4609665427509292E-2"/>
    <n v="5.6524891802686508"/>
    <n v="6.04381977744191"/>
    <n v="451.81298247656548"/>
    <n v="0.93290811983664557"/>
  </r>
  <r>
    <s v="MR392"/>
    <s v="P. blochii"/>
    <d v="2016-10-26T00:00:00"/>
    <x v="3"/>
    <n v="274"/>
    <n v="252"/>
    <n v="378"/>
    <x v="0"/>
    <x v="7"/>
    <s v="13.6"/>
    <x v="2"/>
    <n v="3.7321624588364438E-2"/>
    <n v="5.6131281063880705"/>
    <n v="5.934894195619588"/>
    <n v="403.33782661921185"/>
    <n v="0.93717964210896321"/>
  </r>
  <r>
    <s v="MR393"/>
    <s v="P. blochii"/>
    <d v="2017-10-26T00:00:00"/>
    <x v="3"/>
    <n v="240"/>
    <n v="215"/>
    <n v="253"/>
    <x v="0"/>
    <x v="5"/>
    <n v="0.05"/>
    <x v="1"/>
    <n v="1.9766752322593399E-4"/>
    <n v="5.4806389233419912"/>
    <n v="5.5333894887275203"/>
    <n v="275.27063723462055"/>
    <n v="0.9190954855979111"/>
  </r>
  <r>
    <s v="MR395"/>
    <s v="P. blochii"/>
    <d v="2016-12-18T00:00:00"/>
    <x v="3"/>
    <n v="265"/>
    <n v="250"/>
    <n v="400"/>
    <x v="1"/>
    <x v="4"/>
    <s v="5.6"/>
    <x v="2"/>
    <n v="1.4198782961460446E-2"/>
    <n v="5.579729825986222"/>
    <n v="5.9914645471079817"/>
    <n v="366.30773273526648"/>
    <n v="1.0919780399205583"/>
  </r>
  <r>
    <s v="MR396"/>
    <s v="P. blochii"/>
    <d v="2017-02-15T00:00:00"/>
    <x v="2"/>
    <n v="283"/>
    <n v="251"/>
    <n v="471"/>
    <x v="0"/>
    <x v="1"/>
    <s v="7.5"/>
    <x v="2"/>
    <n v="1.6181229773462782E-2"/>
    <n v="5.6454468976432377"/>
    <n v="6.1548580940164177"/>
    <n v="442.73110443068208"/>
    <n v="1.0638511622210722"/>
  </r>
  <r>
    <s v="MR397"/>
    <s v="P. blochii"/>
    <d v="2017-03-21T00:00:00"/>
    <x v="2"/>
    <n v="277"/>
    <n v="235"/>
    <n v="398.5"/>
    <x v="1"/>
    <x v="2"/>
    <s v="10.8"/>
    <x v="2"/>
    <n v="2.7856590147020896E-2"/>
    <n v="5.6240175061873385"/>
    <n v="5.9877074982302698"/>
    <n v="416.20295796969481"/>
    <n v="0.95746556426207852"/>
  </r>
  <r>
    <s v="MR401"/>
    <s v="P. blochii"/>
    <d v="2017-03-21T00:00:00"/>
    <x v="2"/>
    <n v="235"/>
    <n v="213"/>
    <n v="257"/>
    <x v="0"/>
    <x v="4"/>
    <s v="4.5"/>
    <x v="0"/>
    <n v="1.782178217821782E-2"/>
    <n v="5.4595855141441589"/>
    <n v="5.5490760848952201"/>
    <n v="259.05730203203751"/>
    <n v="0.99205850591394218"/>
  </r>
  <r>
    <s v="MR403"/>
    <s v="P. blochii"/>
    <d v="2015-05-01T00:00:00"/>
    <x v="1"/>
    <n v="272"/>
    <n v="260"/>
    <n v="439"/>
    <x v="1"/>
    <x v="2"/>
    <s v="21.7"/>
    <x v="2"/>
    <n v="5.2000958543014612E-2"/>
    <n v="5.6058020662959978"/>
    <n v="6.0844994130751715"/>
    <n v="394.90710594499711"/>
    <n v="1.1116538380576626"/>
  </r>
  <r>
    <s v="MR406"/>
    <s v="P. blochii"/>
    <d v="2017-02-15T00:00:00"/>
    <x v="2"/>
    <n v="157"/>
    <n v="137"/>
    <n v="74.5"/>
    <x v="3"/>
    <x v="5"/>
    <n v="0.2"/>
    <x v="2"/>
    <n v="2.6917900403768511E-3"/>
    <n v="5.0562458053483077"/>
    <n v="4.3107991253855138"/>
    <n v="80.968343152003172"/>
    <n v="0.92011268972294458"/>
  </r>
  <r>
    <s v="MR407"/>
    <s v="P. blochii"/>
    <d v="2016-10-26T00:00:00"/>
    <x v="3"/>
    <n v="136"/>
    <n v="128"/>
    <n v="50.5"/>
    <x v="0"/>
    <x v="5"/>
    <n v="0.2"/>
    <x v="0"/>
    <n v="3.976143141153082E-3"/>
    <n v="4.9126548857360524"/>
    <n v="3.9219733362813143"/>
    <n v="53.518518199021599"/>
    <n v="0.94359862155008656"/>
  </r>
  <r>
    <s v="MR409"/>
    <s v="P. blochii"/>
    <d v="2016-12-18T00:00:00"/>
    <x v="3"/>
    <n v="202"/>
    <n v="183"/>
    <n v="156"/>
    <x v="0"/>
    <x v="4"/>
    <n v="1"/>
    <x v="2"/>
    <n v="6.4516129032258064E-3"/>
    <n v="5.3082676974012051"/>
    <n v="5.0498560072495371"/>
    <n v="167.45907547073429"/>
    <n v="0.93157089015019123"/>
  </r>
  <r>
    <s v="MR410"/>
    <s v="P. blochii"/>
    <d v="2016-10-26T00:00:00"/>
    <x v="3"/>
    <n v="160"/>
    <n v="144"/>
    <n v="79"/>
    <x v="3"/>
    <x v="5"/>
    <n v="0.1"/>
    <x v="2"/>
    <n v="1.2674271229404308E-3"/>
    <n v="5.0751738152338266"/>
    <n v="4.3694478524670215"/>
    <n v="85.51017188103819"/>
    <n v="0.92386669634935192"/>
  </r>
  <r>
    <s v="MR411"/>
    <s v="P. blochii"/>
    <d v="2016-10-26T00:00:00"/>
    <x v="3"/>
    <n v="223"/>
    <n v="201"/>
    <n v="229"/>
    <x v="1"/>
    <x v="5"/>
    <n v="0.3"/>
    <x v="1"/>
    <n v="1.3117621337997377E-3"/>
    <n v="5.4071717714601188"/>
    <n v="5.43372200355424"/>
    <n v="222.72087916610181"/>
    <n v="1.0281927803868596"/>
  </r>
  <r>
    <s v="MR413"/>
    <s v="P. blochii"/>
    <d v="2017-02-15T00:00:00"/>
    <x v="2"/>
    <n v="195"/>
    <n v="174"/>
    <n v="153"/>
    <x v="0"/>
    <x v="4"/>
    <s v="0.8"/>
    <x v="0"/>
    <n v="5.2562417871222086E-3"/>
    <n v="5.2729995585637468"/>
    <n v="5.0304379213924353"/>
    <n v="151.26703666639025"/>
    <n v="1.0114563183876715"/>
  </r>
  <r>
    <s v="MR414"/>
    <s v="P. blochii"/>
    <d v="2016-10-26T00:00:00"/>
    <x v="3"/>
    <n v="177"/>
    <n v="165"/>
    <n v="117.8"/>
    <x v="0"/>
    <x v="4"/>
    <s v="0.26"/>
    <x v="2"/>
    <n v="2.2120129317679091E-3"/>
    <n v="5.1761497325738288"/>
    <n v="4.768988271217486"/>
    <n v="114.41013029628078"/>
    <n v="1.0296291044765065"/>
  </r>
  <r>
    <s v="MR415"/>
    <s v="P. blochii"/>
    <d v="2017-07-06T00:00:00"/>
    <x v="0"/>
    <n v="202"/>
    <n v="185"/>
    <n v="156"/>
    <x v="0"/>
    <x v="1"/>
    <n v="1"/>
    <x v="1"/>
    <n v="6.4516129032258064E-3"/>
    <n v="5.3082676974012051"/>
    <n v="5.0498560072495371"/>
    <n v="167.45907547073429"/>
    <n v="0.93157089015019123"/>
  </r>
  <r>
    <s v="MR416"/>
    <s v="P. blochii"/>
    <d v="2017-07-06T00:00:00"/>
    <x v="0"/>
    <n v="204"/>
    <n v="186"/>
    <n v="171"/>
    <x v="1"/>
    <x v="1"/>
    <s v="0.8"/>
    <x v="2"/>
    <n v="4.7003525264394837E-3"/>
    <n v="5.3181199938442161"/>
    <n v="5.1416635565026603"/>
    <n v="172.2844929956706"/>
    <n v="0.9925443493297863"/>
  </r>
  <r>
    <s v="MR417"/>
    <s v="P. blochii"/>
    <d v="2016-12-06T00:00:00"/>
    <x v="3"/>
    <n v="170"/>
    <n v="158"/>
    <n v="107"/>
    <x v="0"/>
    <x v="4"/>
    <s v="0.3"/>
    <x v="1"/>
    <n v="2.8116213683223989E-3"/>
    <n v="5.1357984370502621"/>
    <n v="4.6728288344619058"/>
    <n v="101.8438308470236"/>
    <n v="1.0506281932846901"/>
  </r>
  <r>
    <s v="MR418"/>
    <s v="P. blochii"/>
    <d v="2017-03-21T00:00:00"/>
    <x v="2"/>
    <n v="221"/>
    <n v="202"/>
    <n v="208"/>
    <x v="0"/>
    <x v="1"/>
    <n v="4"/>
    <x v="2"/>
    <n v="1.9607843137254902E-2"/>
    <n v="5.3981627015177525"/>
    <n v="5.3375380797013179"/>
    <n v="217.00980633065038"/>
    <n v="0.95848203137455257"/>
  </r>
  <r>
    <s v="MR419"/>
    <s v="P. blochii"/>
    <d v="2017-03-21T00:00:00"/>
    <x v="2"/>
    <n v="243"/>
    <n v="217"/>
    <n v="243.6"/>
    <x v="1"/>
    <x v="0"/>
    <s v="1.7"/>
    <x v="0"/>
    <n v="7.0276973956180239E-3"/>
    <n v="5.4930614433405482"/>
    <n v="5.4955275358357421"/>
    <n v="285.309308193135"/>
    <n v="0.85381020879662073"/>
  </r>
  <r>
    <s v="MR420"/>
    <s v="P. blochii"/>
    <d v="2016-12-06T00:00:00"/>
    <x v="3"/>
    <n v="180"/>
    <n v="172"/>
    <n v="127"/>
    <x v="3"/>
    <x v="5"/>
    <n v="0.1"/>
    <x v="1"/>
    <n v="7.8802206461780935E-4"/>
    <n v="5.1929568508902104"/>
    <n v="4.8441870864585912"/>
    <n v="120.09118463208209"/>
    <n v="1.0575297461598379"/>
  </r>
  <r>
    <s v="MR421"/>
    <s v="P. blochii"/>
    <d v="2017-02-15T00:00:00"/>
    <x v="2"/>
    <n v="202"/>
    <n v="182"/>
    <n v="159"/>
    <x v="0"/>
    <x v="5"/>
    <n v="1"/>
    <x v="2"/>
    <n v="6.3291139240506328E-3"/>
    <n v="5.3082676974012051"/>
    <n v="5.0689042022202315"/>
    <n v="167.45907547073429"/>
    <n v="0.94948571496077183"/>
  </r>
  <r>
    <s v="MR422"/>
    <s v="P. blochii"/>
    <d v="2017-02-15T00:00:00"/>
    <x v="2"/>
    <n v="213"/>
    <n v="195"/>
    <n v="136"/>
    <x v="1"/>
    <x v="4"/>
    <s v="0.5"/>
    <x v="0"/>
    <n v="3.6900369003690036E-3"/>
    <n v="5.3612921657094255"/>
    <n v="4.9126548857360524"/>
    <n v="195.12295926303747"/>
    <n v="0.69699639916112499"/>
  </r>
  <r>
    <s v="MR423"/>
    <s v="P. blochii"/>
    <d v="2017-02-15T00:00:00"/>
    <x v="2"/>
    <n v="189"/>
    <n v="168"/>
    <n v="127"/>
    <x v="0"/>
    <x v="4"/>
    <s v="0.26"/>
    <x v="2"/>
    <n v="2.0514439008994796E-3"/>
    <n v="5.2417470150596426"/>
    <n v="4.8441870864585912"/>
    <n v="138.23194624596724"/>
    <n v="0.91874565503128103"/>
  </r>
  <r>
    <s v="MR424"/>
    <s v="P. blochii"/>
    <d v="2016-12-18T00:00:00"/>
    <x v="3"/>
    <n v="188"/>
    <n v="174"/>
    <n v="138"/>
    <x v="0"/>
    <x v="5"/>
    <s v="0.9"/>
    <x v="0"/>
    <n v="6.5645514223194755E-3"/>
    <n v="5.2364419628299492"/>
    <n v="4.9272536851572051"/>
    <n v="136.13355682011075"/>
    <n v="1.013710382829089"/>
  </r>
  <r>
    <s v="MR425"/>
    <s v="P. blochii"/>
    <d v="2017-02-15T00:00:00"/>
    <x v="2"/>
    <n v="177"/>
    <n v="162"/>
    <n v="119"/>
    <x v="0"/>
    <x v="4"/>
    <n v="1"/>
    <x v="2"/>
    <n v="8.4745762711864406E-3"/>
    <n v="5.1761497325738288"/>
    <n v="4.7791234931115296"/>
    <n v="114.41013029628078"/>
    <n v="1.0401176861859445"/>
  </r>
  <r>
    <s v="MR426"/>
    <s v="P. blochii"/>
    <d v="2017-10-26T00:00:00"/>
    <x v="3"/>
    <n v="175"/>
    <n v="156"/>
    <n v="98.5"/>
    <x v="0"/>
    <x v="4"/>
    <s v="0.1"/>
    <x v="2"/>
    <n v="1.0162601626016259E-3"/>
    <n v="5.1647859739235145"/>
    <n v="4.5900565481780431"/>
    <n v="110.72208554830483"/>
    <n v="0.88961474589482248"/>
  </r>
  <r>
    <s v="MR428"/>
    <s v="P. blochii"/>
    <d v="2017-11-12T00:00:00"/>
    <x v="3"/>
    <n v="201"/>
    <n v="188"/>
    <n v="149.80000000000001"/>
    <x v="0"/>
    <x v="3"/>
    <n v="5.0999999999999996"/>
    <x v="2"/>
    <n v="3.5245335176226668E-2"/>
    <n v="5.3033049080590757"/>
    <n v="5.0093010710831196"/>
    <n v="165.07984615498941"/>
    <n v="0.90743966322428282"/>
  </r>
  <r>
    <s v="MR429"/>
    <s v="P. blochii"/>
    <d v="2017-11-12T00:00:00"/>
    <x v="3"/>
    <n v="261"/>
    <n v="235"/>
    <n v="354.6"/>
    <x v="0"/>
    <x v="1"/>
    <n v="6.1"/>
    <x v="4"/>
    <n v="1.7503586800573886E-2"/>
    <n v="5.5645204073226937"/>
    <n v="5.870990393640108"/>
    <n v="350.5905059657315"/>
    <n v="1.0114364022015485"/>
  </r>
  <r>
    <s v="MR430"/>
    <s v="P. blochii"/>
    <d v="2017-01-29T00:00:00"/>
    <x v="2"/>
    <n v="197"/>
    <n v="179"/>
    <n v="146.6"/>
    <x v="1"/>
    <x v="4"/>
    <n v="0.218"/>
    <x v="2"/>
    <n v="1.4892541432689811E-3"/>
    <n v="5.2832037287379885"/>
    <n v="4.9877077894525508"/>
    <n v="155.78384962787788"/>
    <n v="0.94104748566802388"/>
  </r>
  <r>
    <s v="MR432"/>
    <s v="P. blochii"/>
    <d v="2017-12-29T00:00:00"/>
    <x v="3"/>
    <n v="180"/>
    <n v="160"/>
    <n v="109.6"/>
    <x v="1"/>
    <x v="5"/>
    <n v="0.26100000000000001"/>
    <x v="1"/>
    <n v="2.3870714017871024E-3"/>
    <n v="5.1929568508902104"/>
    <n v="4.6968373745139154"/>
    <n v="120.09118463208209"/>
    <n v="0.91263984393006481"/>
  </r>
  <r>
    <s v="MR433"/>
    <s v="P. blochii"/>
    <d v="2017-03-29T00:00:00"/>
    <x v="2"/>
    <n v="185"/>
    <n v="172"/>
    <n v="132.1"/>
    <x v="0"/>
    <x v="4"/>
    <n v="0.87"/>
    <x v="1"/>
    <n v="6.6295816505372255E-3"/>
    <n v="5.2203558250783244"/>
    <n v="4.8835592115282793"/>
    <n v="129.96349682965402"/>
    <n v="1.016439255810009"/>
  </r>
  <r>
    <s v="MR434"/>
    <s v="P. blochii"/>
    <d v="2017-12-29T00:00:00"/>
    <x v="3"/>
    <n v="210"/>
    <n v="189"/>
    <n v="158.19999999999999"/>
    <x v="1"/>
    <x v="4"/>
    <n v="0.14599999999999999"/>
    <x v="1"/>
    <n v="9.2373492603793639E-4"/>
    <n v="5.3471075307174685"/>
    <n v="5.0638600553335538"/>
    <n v="187.30342538632442"/>
    <n v="0.84461882997442839"/>
  </r>
  <r>
    <s v="MR435"/>
    <s v="P. blochii"/>
    <d v="2017-12-29T00:00:00"/>
    <x v="3"/>
    <n v="293"/>
    <n v="266"/>
    <n v="486.8"/>
    <x v="1"/>
    <x v="1"/>
    <n v="1.55"/>
    <x v="1"/>
    <n v="3.1942297784647092E-3"/>
    <n v="5.6801726090170677"/>
    <n v="6.1878533611133717"/>
    <n v="489.35628682217327"/>
    <n v="0.99477622564374613"/>
  </r>
  <r>
    <s v="MR437"/>
    <s v="P. blochii"/>
    <d v="2017-12-29T00:00:00"/>
    <x v="3"/>
    <n v="209"/>
    <n v="193"/>
    <n v="211"/>
    <x v="1"/>
    <x v="4"/>
    <n v="0.1"/>
    <x v="1"/>
    <n v="4.74158368895211E-4"/>
    <n v="5.3423342519648109"/>
    <n v="5.3518581334760666"/>
    <n v="184.74317365346289"/>
    <n v="1.1421260976916476"/>
  </r>
  <r>
    <s v="MR439"/>
    <s v="P. blochii"/>
    <d v="2018-04-07T00:00:00"/>
    <x v="1"/>
    <n v="193"/>
    <n v="179"/>
    <n v="141.80000000000001"/>
    <x v="1"/>
    <x v="1"/>
    <n v="0.83699999999999997"/>
    <x v="2"/>
    <n v="5.9377283400608655E-3"/>
    <n v="5.2626901889048856"/>
    <n v="4.9544176140980269"/>
    <n v="146.83663755895864"/>
    <n v="0.96569904049364863"/>
  </r>
  <r>
    <s v="MR440"/>
    <s v="P. blochii"/>
    <d v="2018-04-07T00:00:00"/>
    <x v="1"/>
    <n v="207"/>
    <n v="191"/>
    <n v="172"/>
    <x v="1"/>
    <x v="0"/>
    <n v="0.36"/>
    <x v="2"/>
    <n v="2.0974131903985084E-3"/>
    <n v="5.3327187932653688"/>
    <n v="5.1474944768134527"/>
    <n v="179.69147727921433"/>
    <n v="0.95719620431823327"/>
  </r>
  <r>
    <s v="MR441"/>
    <s v="P. blochii"/>
    <d v="2018-04-07T00:00:00"/>
    <x v="1"/>
    <n v="199"/>
    <n v="185"/>
    <n v="167"/>
    <x v="0"/>
    <x v="1"/>
    <n v="0.81299999999999994"/>
    <x v="1"/>
    <n v="4.8920794045262256E-3"/>
    <n v="5.2933048247244923"/>
    <n v="5.1179938124167554"/>
    <n v="160.38785893534876"/>
    <n v="1.0412259450842631"/>
  </r>
  <r>
    <s v="MR442"/>
    <s v="P. blochii"/>
    <d v="2017-04-07T00:00:00"/>
    <x v="1"/>
    <n v="200"/>
    <n v="182"/>
    <n v="155.6"/>
    <x v="0"/>
    <x v="1"/>
    <n v="0.81"/>
    <x v="1"/>
    <n v="5.2328961819238977E-3"/>
    <n v="5.2983173665480363"/>
    <n v="5.0472886117442908"/>
    <n v="162.72280649413719"/>
    <n v="0.95622736205453884"/>
  </r>
  <r>
    <s v="MR443"/>
    <s v="P. blochii"/>
    <d v="2018-04-07T00:00:00"/>
    <x v="1"/>
    <n v="172"/>
    <n v="160"/>
    <n v="110"/>
    <x v="1"/>
    <x v="4"/>
    <n v="0.20399999999999999"/>
    <x v="1"/>
    <n v="1.8579911836496773E-3"/>
    <n v="5.1474944768134527"/>
    <n v="4.7004803657924166"/>
    <n v="105.33702470246961"/>
    <n v="1.0442672014963517"/>
  </r>
  <r>
    <s v="MR444"/>
    <s v="P. blochii"/>
    <d v="2018-04-07T00:00:00"/>
    <x v="1"/>
    <n v="308"/>
    <n v="279"/>
    <n v="636.6"/>
    <x v="0"/>
    <x v="0"/>
    <n v="36.090000000000003"/>
    <x v="2"/>
    <n v="6.009891592146676E-2"/>
    <n v="5.730099782973574"/>
    <n v="6.4561415148479924"/>
    <n v="565.12729281037559"/>
    <n v="1.1264718729725316"/>
  </r>
  <r>
    <s v="MR445"/>
    <s v="P. blochii"/>
    <d v="2017-12-29T00:00:00"/>
    <x v="3"/>
    <n v="292"/>
    <n v="263"/>
    <n v="488.3"/>
    <x v="1"/>
    <x v="1"/>
    <n v="2.101"/>
    <x v="1"/>
    <n v="4.3212758561823449E-3"/>
    <n v="5.6767538022682817"/>
    <n v="6.1909299710676144"/>
    <n v="484.5560101078504"/>
    <n v="1.0077266400871105"/>
  </r>
  <r>
    <s v="MR446"/>
    <s v="P. blochii"/>
    <d v="2018-07-21T00:00:00"/>
    <x v="0"/>
    <n v="310"/>
    <n v="295"/>
    <n v="680"/>
    <x v="0"/>
    <x v="3"/>
    <n v="18.54"/>
    <x v="2"/>
    <n v="2.8028905753938255E-2"/>
    <n v="5.7365722974791922"/>
    <n v="6.522092798170152"/>
    <n v="575.77322245056951"/>
    <n v="1.1810205363594839"/>
  </r>
  <r>
    <s v="MR447"/>
    <s v="P. blochii"/>
    <d v="2018-04-07T00:00:00"/>
    <x v="1"/>
    <n v="260"/>
    <n v="240"/>
    <n v="369.3"/>
    <x v="1"/>
    <x v="4"/>
    <n v="1.925"/>
    <x v="4"/>
    <n v="5.2398775093569242E-3"/>
    <n v="5.5606816310155276"/>
    <n v="5.911609321858518"/>
    <n v="346.73130840801252"/>
    <n v="1.065089857894892"/>
  </r>
  <r>
    <s v="MR448"/>
    <s v="P. blochii"/>
    <d v="2018-07-21T00:00:00"/>
    <x v="0"/>
    <n v="286"/>
    <n v="259"/>
    <n v="481"/>
    <x v="1"/>
    <x v="0"/>
    <n v="2.0019999999999998"/>
    <x v="1"/>
    <n v="4.1795581609944087E-3"/>
    <n v="5.6559918108198524"/>
    <n v="6.1758672701057611"/>
    <n v="456.39918622100356"/>
    <n v="1.0539019667907206"/>
  </r>
  <r>
    <s v="MR450"/>
    <s v="P. blochii"/>
    <d v="2018-04-07T00:00:00"/>
    <x v="1"/>
    <n v="215"/>
    <n v="190"/>
    <n v="232.6"/>
    <x v="0"/>
    <x v="5"/>
    <n v="0.89"/>
    <x v="4"/>
    <n v="3.8410081567476586E-3"/>
    <n v="5.3706380281276624"/>
    <n v="5.4493202400845639"/>
    <n v="200.45260008568741"/>
    <n v="1.1603740729757086"/>
  </r>
  <r>
    <s v="MR451"/>
    <s v="P. blochii"/>
    <d v="2018-07-21T00:00:00"/>
    <x v="0"/>
    <n v="234"/>
    <n v="213"/>
    <n v="240.7"/>
    <x v="1"/>
    <x v="4"/>
    <n v="0.63600000000000001"/>
    <x v="0"/>
    <n v="2.6492935217275393E-3"/>
    <n v="5.4553211153577017"/>
    <n v="5.4835513447890261"/>
    <n v="255.89144185053246"/>
    <n v="0.94063325549040488"/>
  </r>
  <r>
    <s v="MR452"/>
    <s v="P. blochii"/>
    <d v="2018-07-21T00:00:00"/>
    <x v="0"/>
    <n v="232"/>
    <n v="216"/>
    <n v="259.7"/>
    <x v="0"/>
    <x v="1"/>
    <n v="1.7"/>
    <x v="1"/>
    <n v="6.5891472868217053E-3"/>
    <n v="5.4467373716663099"/>
    <n v="5.5595271186687025"/>
    <n v="249.63576233205887"/>
    <n v="1.0403156886414131"/>
  </r>
  <r>
    <s v="MR453"/>
    <s v="P. blochii"/>
    <d v="2018-07-21T00:00:00"/>
    <x v="0"/>
    <n v="226"/>
    <n v="204"/>
    <n v="227"/>
    <x v="0"/>
    <x v="4"/>
    <n v="1.4"/>
    <x v="1"/>
    <n v="6.2056737588652476E-3"/>
    <n v="5.4205349992722862"/>
    <n v="5.4249500174814029"/>
    <n v="231.47014433663401"/>
    <n v="0.980688030633735"/>
  </r>
  <r>
    <s v="MR455"/>
    <s v="P. blochii"/>
    <d v="2018-07-21T00:00:00"/>
    <x v="0"/>
    <n v="202"/>
    <n v="184"/>
    <n v="173.5"/>
    <x v="1"/>
    <x v="1"/>
    <n v="0.68100000000000005"/>
    <x v="2"/>
    <n v="3.9405389453705903E-3"/>
    <n v="5.3082676974012051"/>
    <n v="5.1561775993869139"/>
    <n v="167.45907547073429"/>
    <n v="1.0360740348785782"/>
  </r>
  <r>
    <s v="MR456"/>
    <s v="P. blochii"/>
    <d v="2017-12-29T00:00:00"/>
    <x v="3"/>
    <n v="210"/>
    <n v="180"/>
    <n v="203"/>
    <x v="1"/>
    <x v="4"/>
    <n v="0.3"/>
    <x v="1"/>
    <n v="1.4800197335964481E-3"/>
    <n v="5.3471075307174685"/>
    <n v="5.3132059790417872"/>
    <n v="187.30342538632442"/>
    <n v="1.0838029234185145"/>
  </r>
  <r>
    <s v="MR457"/>
    <s v="P. blochii"/>
    <d v="2018-07-21T00:00:00"/>
    <x v="0"/>
    <n v="241"/>
    <n v="217"/>
    <n v="268"/>
    <x v="1"/>
    <x v="3"/>
    <n v="18"/>
    <x v="0"/>
    <n v="7.1999999999999995E-2"/>
    <n v="5.4847969334906548"/>
    <n v="5.5909869805108565"/>
    <n v="278.59078065338855"/>
    <n v="0.96198445394154963"/>
  </r>
  <r>
    <s v="MR458"/>
    <s v="P. blochii"/>
    <d v="2017-12-29T00:00:00"/>
    <x v="3"/>
    <n v="173"/>
    <n v="158"/>
    <n v="115"/>
    <x v="0"/>
    <x v="5"/>
    <n v="0.38500000000000001"/>
    <x v="2"/>
    <n v="3.3590716747371636E-3"/>
    <n v="5.1532915944977793"/>
    <n v="4.7449321283632502"/>
    <n v="107.11257636380948"/>
    <n v="1.0736367652048697"/>
  </r>
  <r>
    <s v="MR459"/>
    <s v="P. blochii"/>
    <d v="2018-07-21T00:00:00"/>
    <x v="0"/>
    <n v="265"/>
    <n v="242"/>
    <n v="386.6"/>
    <x v="1"/>
    <x v="4"/>
    <n v="1.5"/>
    <x v="1"/>
    <n v="3.8950921838483508E-3"/>
    <n v="5.579729825986222"/>
    <n v="5.9573905667742304"/>
    <n v="366.30773273526648"/>
    <n v="1.0553967755832196"/>
  </r>
  <r>
    <s v="MR460"/>
    <s v="P. blochii"/>
    <d v="2018-07-21T00:00:00"/>
    <x v="0"/>
    <n v="220"/>
    <n v="200"/>
    <n v="202.6"/>
    <x v="1"/>
    <x v="1"/>
    <n v="0.87"/>
    <x v="2"/>
    <n v="4.312695186635602E-3"/>
    <n v="5.393627546352362"/>
    <n v="5.3112335918145828"/>
    <n v="214.19051196879525"/>
    <n v="0.94588690291527089"/>
  </r>
  <r>
    <s v="MR461"/>
    <s v="P. blochii"/>
    <d v="2018-07-21T00:00:00"/>
    <x v="0"/>
    <n v="212"/>
    <n v="193"/>
    <n v="207.5"/>
    <x v="0"/>
    <x v="4"/>
    <n v="2.5190000000000001"/>
    <x v="2"/>
    <n v="1.2288943853332748E-2"/>
    <n v="5.3565862746720123"/>
    <n v="5.3351313396707534"/>
    <n v="192.49322121711643"/>
    <n v="1.0779600376989753"/>
  </r>
  <r>
    <s v="MR462"/>
    <s v="P. blochii"/>
    <d v="2018-07-21T00:00:00"/>
    <x v="0"/>
    <n v="207"/>
    <n v="189"/>
    <n v="184"/>
    <x v="0"/>
    <x v="1"/>
    <n v="2.4700000000000002"/>
    <x v="2"/>
    <n v="1.3606566407756295E-2"/>
    <n v="5.3327187932653688"/>
    <n v="5.2149357576089859"/>
    <n v="179.69147727921433"/>
    <n v="1.0239773348520635"/>
  </r>
  <r>
    <s v="MR463"/>
    <s v="P. blochii"/>
    <d v="2018-07-21T00:00:00"/>
    <x v="0"/>
    <n v="170"/>
    <n v="160"/>
    <n v="105.4"/>
    <x v="1"/>
    <x v="4"/>
    <n v="0.76800000000000002"/>
    <x v="2"/>
    <n v="7.3400107041822768E-3"/>
    <n v="5.1357984370502621"/>
    <n v="4.6577626361072619"/>
    <n v="101.8438308470236"/>
    <n v="1.0349178651608071"/>
  </r>
  <r>
    <s v="MR464"/>
    <s v="P. blochii"/>
    <d v="2018-07-21T00:00:00"/>
    <x v="0"/>
    <n v="221"/>
    <n v="202"/>
    <n v="235"/>
    <x v="1"/>
    <x v="4"/>
    <n v="0.6"/>
    <x v="4"/>
    <n v="2.5597269624573378E-3"/>
    <n v="5.3981627015177525"/>
    <n v="5.4595855141441589"/>
    <n v="217.00980633065038"/>
    <n v="1.0829003719856722"/>
  </r>
  <r>
    <s v="MR465"/>
    <s v="P. blochii"/>
    <d v="2018-07-21T00:00:00"/>
    <x v="0"/>
    <n v="213"/>
    <n v="189"/>
    <n v="186.4"/>
    <x v="1"/>
    <x v="1"/>
    <n v="0.38200000000000001"/>
    <x v="0"/>
    <n v="2.0535647087916225E-3"/>
    <n v="5.3612921657094255"/>
    <n v="5.2278949022514904"/>
    <n v="195.12295926303747"/>
    <n v="0.95529506473260073"/>
  </r>
  <r>
    <s v="MR467"/>
    <s v="P. blochii"/>
    <d v="2017-12-29T00:00:00"/>
    <x v="3"/>
    <n v="198"/>
    <n v="182"/>
    <n v="159"/>
    <x v="4"/>
    <x v="4"/>
    <n v="0.08"/>
    <x v="2"/>
    <n v="5.0339793606846216E-4"/>
    <n v="5.2882670306945352"/>
    <n v="5.0689042022202315"/>
    <n v="158.07490586890444"/>
    <n v="1.0058522516651869"/>
  </r>
  <r>
    <s v="MR468"/>
    <s v="P. blochii"/>
    <d v="2018-07-21T00:00:00"/>
    <x v="0"/>
    <n v="182"/>
    <n v="167"/>
    <n v="117.8"/>
    <x v="0"/>
    <x v="5"/>
    <n v="0.495"/>
    <x v="4"/>
    <n v="4.2197689783044206E-3"/>
    <n v="5.2040066870767951"/>
    <n v="4.768988271217486"/>
    <n v="123.97903264600478"/>
    <n v="0.95016066415320666"/>
  </r>
  <r>
    <s v="MR469"/>
    <s v="P. blochii"/>
    <d v="2018-07-21T00:00:00"/>
    <x v="0"/>
    <n v="196"/>
    <n v="179"/>
    <n v="149.30000000000001"/>
    <x v="1"/>
    <x v="5"/>
    <n v="0.06"/>
    <x v="2"/>
    <n v="4.0203698740284101E-4"/>
    <n v="5.2781146592305168"/>
    <n v="5.0059577045451444"/>
    <n v="153.51459248781111"/>
    <n v="0.97254598133304015"/>
  </r>
  <r>
    <s v="MR470"/>
    <s v="P. blochii"/>
    <d v="2018-07-21T00:00:00"/>
    <x v="0"/>
    <n v="210"/>
    <n v="190"/>
    <n v="186.2"/>
    <x v="1"/>
    <x v="1"/>
    <n v="0.6"/>
    <x v="0"/>
    <n v="3.2327586206896551E-3"/>
    <n v="5.3471075307174685"/>
    <n v="5.2268213648429667"/>
    <n v="187.30342538632442"/>
    <n v="0.99410888837698219"/>
  </r>
  <r>
    <s v="MR471"/>
    <s v="P. blochii"/>
    <d v="2018-07-21T00:00:00"/>
    <x v="0"/>
    <n v="197"/>
    <n v="154"/>
    <n v="146.4"/>
    <x v="1"/>
    <x v="4"/>
    <n v="0.09"/>
    <x v="1"/>
    <n v="6.1513225343448835E-4"/>
    <n v="5.2832037287379885"/>
    <n v="4.9863426015272116"/>
    <n v="155.78384962787788"/>
    <n v="0.93976365553750818"/>
  </r>
  <r>
    <s v="MR472"/>
    <s v="P. blochii"/>
    <d v="2018-07-21T00:00:00"/>
    <x v="0"/>
    <n v="205"/>
    <n v="186"/>
    <n v="154.69999999999999"/>
    <x v="0"/>
    <x v="4"/>
    <n v="0.5"/>
    <x v="2"/>
    <n v="3.2425421530479898E-3"/>
    <n v="5.3230099791384085"/>
    <n v="5.04148775757902"/>
    <n v="174.73087602890504"/>
    <n v="0.88536155438497643"/>
  </r>
  <r>
    <s v="MR473"/>
    <s v="P. blochii"/>
    <d v="2017-12-29T00:00:00"/>
    <x v="3"/>
    <n v="188"/>
    <n v="171"/>
    <n v="147"/>
    <x v="0"/>
    <x v="1"/>
    <n v="1.29"/>
    <x v="1"/>
    <n v="8.8532015647519047E-3"/>
    <n v="5.2364419628299492"/>
    <n v="4.990432586778736"/>
    <n v="136.13355682011075"/>
    <n v="1.0798219295353337"/>
  </r>
  <r>
    <s v="MR474"/>
    <s v="P. blochii"/>
    <d v="2018-07-21T00:00:00"/>
    <x v="0"/>
    <n v="191"/>
    <n v="179"/>
    <n v="144"/>
    <x v="0"/>
    <x v="4"/>
    <n v="0.9"/>
    <x v="0"/>
    <n v="6.2893081761006293E-3"/>
    <n v="5.2522734280466299"/>
    <n v="4.9698132995760007"/>
    <n v="142.4918688773069"/>
    <n v="1.0105839802269116"/>
  </r>
  <r>
    <s v="MR475"/>
    <s v="P. blochii"/>
    <d v="2017-12-29T00:00:00"/>
    <x v="3"/>
    <n v="166"/>
    <n v="150"/>
    <n v="81"/>
    <x v="3"/>
    <x v="8"/>
    <n v="0"/>
    <x v="2"/>
    <n v="0"/>
    <n v="5.1119877883565437"/>
    <n v="4.3944491546724391"/>
    <n v="95.086296931667221"/>
    <n v="0.85185776093699184"/>
  </r>
  <r>
    <s v="MR476"/>
    <s v="P. blochii"/>
    <d v="2017-12-29T00:00:00"/>
    <x v="3"/>
    <n v="184"/>
    <n v="166"/>
    <n v="181"/>
    <x v="3"/>
    <x v="8"/>
    <n v="0"/>
    <x v="0"/>
    <n v="0"/>
    <n v="5.2149357576089859"/>
    <n v="5.1984970312658261"/>
    <n v="127.94818499607396"/>
    <n v="1.4146351509836104"/>
  </r>
  <r>
    <s v="MR477"/>
    <s v="P. blochii"/>
    <d v="2017-12-29T00:00:00"/>
    <x v="3"/>
    <n v="185"/>
    <n v="142"/>
    <n v="136"/>
    <x v="1"/>
    <x v="4"/>
    <n v="0"/>
    <x v="2"/>
    <n v="0"/>
    <n v="5.2203558250783244"/>
    <n v="4.9126548857360524"/>
    <n v="129.96349682965402"/>
    <n v="1.0464476819845665"/>
  </r>
  <r>
    <s v="MR478"/>
    <s v="P. blochii"/>
    <d v="2017-12-29T00:00:00"/>
    <x v="3"/>
    <n v="181"/>
    <n v="138"/>
    <n v="168"/>
    <x v="3"/>
    <x v="8"/>
    <n v="0"/>
    <x v="0"/>
    <n v="0"/>
    <n v="5.1984970312658261"/>
    <n v="5.1239639794032588"/>
    <n v="122.02499493504962"/>
    <n v="1.3767671130772965"/>
  </r>
  <r>
    <s v="MR512"/>
    <s v="P. blochii"/>
    <d v="2018-05-31T00:00:00"/>
    <x v="1"/>
    <n v="246"/>
    <n v="224"/>
    <n v="319.5"/>
    <x v="1"/>
    <x v="1"/>
    <n v="0.7"/>
    <x v="1"/>
    <n v="2.1957340025094102E-3"/>
    <n v="5.5053315359323625"/>
    <n v="5.7667572738175892"/>
    <n v="295.58413246008666"/>
    <n v="1.0809105256796649"/>
  </r>
  <r>
    <s v="MR513"/>
    <s v="P. blochii"/>
    <d v="2019-05-31T00:00:00"/>
    <x v="1"/>
    <n v="241"/>
    <n v="221.8"/>
    <n v="289.5"/>
    <x v="1"/>
    <x v="1"/>
    <n v="1.7"/>
    <x v="2"/>
    <n v="5.9068797776233488E-3"/>
    <n v="5.4847969334906548"/>
    <n v="5.6681552970130502"/>
    <n v="278.59078065338855"/>
    <n v="1.039158579910741"/>
  </r>
  <r>
    <s v="MR514"/>
    <s v="P. blochii"/>
    <d v="2019-05-31T00:00:00"/>
    <x v="1"/>
    <n v="227"/>
    <n v="208"/>
    <n v="252"/>
    <x v="0"/>
    <x v="1"/>
    <n v="3.1"/>
    <x v="4"/>
    <n v="1.2454801124949779E-2"/>
    <n v="5.4249500174814029"/>
    <n v="5.5294290875114234"/>
    <n v="234.43565945629453"/>
    <n v="1.0749217955341814"/>
  </r>
  <r>
    <s v="MR515"/>
    <s v="P. blochii"/>
    <d v="2019-05-31T00:00:00"/>
    <x v="1"/>
    <n v="240"/>
    <n v="218"/>
    <n v="275"/>
    <x v="0"/>
    <x v="0"/>
    <n v="7.5"/>
    <x v="1"/>
    <n v="2.8037383177570093E-2"/>
    <n v="5.4806389233419912"/>
    <n v="5.6167710976665717"/>
    <n v="275.27063723462055"/>
    <n v="0.9990168321716425"/>
  </r>
  <r>
    <s v="MR516"/>
    <s v="P. blochii"/>
    <d v="2019-05-31T00:00:00"/>
    <x v="1"/>
    <n v="255"/>
    <n v="233"/>
    <n v="367.5"/>
    <x v="1"/>
    <x v="1"/>
    <n v="1.2"/>
    <x v="2"/>
    <n v="3.2760032760032758E-3"/>
    <n v="5.5412635451584258"/>
    <n v="5.9067233186528911"/>
    <n v="327.85124388098313"/>
    <n v="1.1209352011286258"/>
  </r>
  <r>
    <s v="MR517"/>
    <s v="P. blochii"/>
    <d v="2019-05-31T00:00:00"/>
    <x v="1"/>
    <n v="246"/>
    <n v="218"/>
    <n v="276"/>
    <x v="0"/>
    <x v="1"/>
    <n v="3.7"/>
    <x v="2"/>
    <n v="1.3587954461990452E-2"/>
    <n v="5.5053315359323625"/>
    <n v="5.6204008657171496"/>
    <n v="295.58413246008666"/>
    <n v="0.93374430387351337"/>
  </r>
  <r>
    <s v="MR518"/>
    <s v="P. blochii"/>
    <d v="2019-05-31T00:00:00"/>
    <x v="1"/>
    <n v="251"/>
    <n v="222"/>
    <n v="283"/>
    <x v="0"/>
    <x v="1"/>
    <n v="3.3"/>
    <x v="2"/>
    <n v="1.1798355380765105E-2"/>
    <n v="5.5254529391317835"/>
    <n v="5.6454468976432377"/>
    <n v="313.24061334248506"/>
    <n v="0.90345883626073364"/>
  </r>
  <r>
    <s v="MR519"/>
    <s v="P. blochii"/>
    <d v="2019-05-31T00:00:00"/>
    <x v="1"/>
    <n v="247"/>
    <n v="209"/>
    <n v="329.5"/>
    <x v="1"/>
    <x v="1"/>
    <n v="0.5"/>
    <x v="1"/>
    <n v="1.5197568389057751E-3"/>
    <n v="5.5093883366279774"/>
    <n v="5.7975763539425618"/>
    <n v="299.0619973383607"/>
    <n v="1.1017782363942468"/>
  </r>
  <r>
    <s v="MR520"/>
    <s v="P. blochii"/>
    <d v="2019-05-31T00:00:00"/>
    <x v="1"/>
    <n v="211"/>
    <n v="190"/>
    <n v="190.5"/>
    <x v="1"/>
    <x v="1"/>
    <n v="2.9"/>
    <x v="1"/>
    <n v="1.5458422174840085E-2"/>
    <n v="5.3518581334760666"/>
    <n v="5.2496521945667558"/>
    <n v="189.88674224061299"/>
    <n v="1.003229597559844"/>
  </r>
  <r>
    <s v="MR521"/>
    <s v="P. blochii"/>
    <d v="2019-05-31T00:00:00"/>
    <x v="1"/>
    <n v="218"/>
    <n v="195"/>
    <n v="186.5"/>
    <x v="0"/>
    <x v="1"/>
    <n v="0.8"/>
    <x v="2"/>
    <n v="4.3080236941303186E-3"/>
    <n v="5.3844950627890888"/>
    <n v="5.2284312390838705"/>
    <n v="208.62392497014221"/>
    <n v="0.89395307861594231"/>
  </r>
  <r>
    <s v="MR522"/>
    <s v="P. blochii"/>
    <d v="2019-05-31T00:00:00"/>
    <x v="1"/>
    <n v="210"/>
    <n v="190"/>
    <n v="176"/>
    <x v="1"/>
    <x v="1"/>
    <n v="0.7"/>
    <x v="2"/>
    <n v="3.9931545921277805E-3"/>
    <n v="5.3471075307174685"/>
    <n v="5.1704839950381514"/>
    <n v="187.30342538632442"/>
    <n v="0.93965179567319479"/>
  </r>
  <r>
    <s v="MR523"/>
    <s v="P. blochii"/>
    <d v="2018-11-15T00:00:00"/>
    <x v="3"/>
    <n v="309"/>
    <n v="278"/>
    <n v="678.5"/>
    <x v="1"/>
    <x v="0"/>
    <n v="10.1"/>
    <x v="1"/>
    <n v="1.5110712148414123E-2"/>
    <n v="5.7333412768977459"/>
    <n v="6.519884479274924"/>
    <n v="570.43403552815892"/>
    <n v="1.1894451553399754"/>
  </r>
  <r>
    <s v="MR524"/>
    <s v="P. blochii"/>
    <d v="2018-11-15T00:00:00"/>
    <x v="3"/>
    <n v="189"/>
    <n v="186"/>
    <n v="173"/>
    <x v="0"/>
    <x v="4"/>
    <n v="1"/>
    <x v="2"/>
    <n v="5.8139534883720929E-3"/>
    <n v="5.2417470150596426"/>
    <n v="5.1532915944977793"/>
    <n v="138.23194624596724"/>
    <n v="1.2515196718142647"/>
  </r>
  <r>
    <s v="MR525"/>
    <s v="P. blochii"/>
    <d v="2018-11-15T00:00:00"/>
    <x v="3"/>
    <n v="176"/>
    <n v="164"/>
    <n v="119"/>
    <x v="0"/>
    <x v="4"/>
    <n v="0.5"/>
    <x v="2"/>
    <n v="4.2194092827004216E-3"/>
    <n v="5.1704839950381514"/>
    <n v="4.7791234931115296"/>
    <n v="112.55624142888077"/>
    <n v="1.0572492337103381"/>
  </r>
  <r>
    <s v="MR527"/>
    <s v="P. blochii"/>
    <d v="2018-11-15T00:00:00"/>
    <x v="3"/>
    <n v="180"/>
    <n v="165"/>
    <n v="119"/>
    <x v="1"/>
    <x v="4"/>
    <n v="0.7"/>
    <x v="2"/>
    <n v="5.9171597633136093E-3"/>
    <n v="5.1929568508902104"/>
    <n v="4.7791234931115296"/>
    <n v="120.09118463208209"/>
    <n v="0.99091369915764338"/>
  </r>
  <r>
    <s v="MR531"/>
    <s v="P. blochii"/>
    <d v="2019-04-03T00:00:00"/>
    <x v="1"/>
    <n v="298"/>
    <n v="269"/>
    <n v="512"/>
    <x v="1"/>
    <x v="2"/>
    <n v="43.7"/>
    <x v="0"/>
    <n v="9.3316250266922918E-2"/>
    <n v="5.6970934865054046"/>
    <n v="6.2383246250395077"/>
    <n v="513.82386942363644"/>
    <n v="0.99645039957820114"/>
  </r>
  <r>
    <s v="MR532"/>
    <s v="P. blochii"/>
    <d v="2019-04-03T00:00:00"/>
    <x v="1"/>
    <n v="199"/>
    <n v="180"/>
    <n v="168.5"/>
    <x v="1"/>
    <x v="1"/>
    <n v="0.3"/>
    <x v="1"/>
    <n v="1.7835909631391202E-3"/>
    <n v="5.2933048247244923"/>
    <n v="5.1269357497924162"/>
    <n v="160.38785893534876"/>
    <n v="1.0505782739323255"/>
  </r>
  <r>
    <s v="MR537"/>
    <s v="P. blochii"/>
    <d v="2019-04-03T00:00:00"/>
    <x v="1"/>
    <n v="145"/>
    <n v="134"/>
    <n v="56.5"/>
    <x v="3"/>
    <x v="5"/>
    <n v="0.01"/>
    <x v="0"/>
    <n v="1.770224818551956E-4"/>
    <n v="4.9767337424205742"/>
    <n v="4.0342406381523954"/>
    <n v="64.379348888837143"/>
    <n v="0.87761061544063923"/>
  </r>
  <r>
    <s v="MR538"/>
    <s v="P. blochii"/>
    <d v="2019-04-03T00:00:00"/>
    <x v="1"/>
    <n v="244"/>
    <n v="222"/>
    <n v="270"/>
    <x v="1"/>
    <x v="2"/>
    <n v="10.199999999999999"/>
    <x v="0"/>
    <n v="3.9260969976905306E-2"/>
    <n v="5.4971682252932021"/>
    <n v="5.598421958998375"/>
    <n v="288.70788318683475"/>
    <n v="0.93520134268475064"/>
  </r>
  <r>
    <s v="MR539"/>
    <s v="P. blochii"/>
    <d v="2019-04-03T00:00:00"/>
    <x v="1"/>
    <n v="224"/>
    <n v="204"/>
    <n v="208"/>
    <x v="0"/>
    <x v="1"/>
    <n v="7.4"/>
    <x v="1"/>
    <n v="3.6889332003988036E-2"/>
    <n v="5.4116460518550396"/>
    <n v="5.3375380797013179"/>
    <n v="225.61285044185979"/>
    <n v="0.92193330119554251"/>
  </r>
  <r>
    <s v="MR542"/>
    <s v="P. blochii"/>
    <d v="2019-05-25T00:00:00"/>
    <x v="1"/>
    <n v="323"/>
    <n v="291"/>
    <n v="663.5"/>
    <x v="0"/>
    <x v="2"/>
    <n v="48"/>
    <x v="2"/>
    <n v="7.798537774167344E-2"/>
    <n v="5.7776523232226564"/>
    <n v="6.4975288537722626"/>
    <n v="648.17722344327569"/>
    <n v="1.0236397948007583"/>
  </r>
  <r>
    <s v="MR543"/>
    <s v="P. blochii"/>
    <d v="2019-05-25T00:00:00"/>
    <x v="1"/>
    <n v="283"/>
    <n v="257"/>
    <n v="480.5"/>
    <x v="1"/>
    <x v="0"/>
    <n v="22.9"/>
    <x v="1"/>
    <n v="5.0043706293706289E-2"/>
    <n v="5.6454468976432377"/>
    <n v="6.1748272284103471"/>
    <n v="442.73110443068208"/>
    <n v="1.0853088820535566"/>
  </r>
  <r>
    <s v="MR545"/>
    <s v="P. blochii"/>
    <d v="2019-04-03T00:00:00"/>
    <x v="1"/>
    <n v="253"/>
    <n v="228"/>
    <n v="341"/>
    <x v="0"/>
    <x v="0"/>
    <n v="10.6"/>
    <x v="2"/>
    <n v="3.2082324455205813E-2"/>
    <n v="5.5333894887275203"/>
    <n v="5.8318824772835169"/>
    <n v="320.49154675906124"/>
    <n v="1.0639906214323855"/>
  </r>
  <r>
    <s v="MR547"/>
    <s v="P. blochii"/>
    <d v="2018-11-15T00:00:00"/>
    <x v="3"/>
    <n v="174"/>
    <n v="160"/>
    <n v="132"/>
    <x v="1"/>
    <x v="1"/>
    <n v="1.1000000000000001"/>
    <x v="4"/>
    <n v="8.4033613445378148E-3"/>
    <n v="5.1590552992145291"/>
    <n v="4.8828019225863706"/>
    <n v="108.9075635751075"/>
    <n v="1.2120370309172046"/>
  </r>
  <r>
    <s v="MR548"/>
    <s v="P. blochii"/>
    <d v="2018-11-15T00:00:00"/>
    <x v="3"/>
    <n v="182"/>
    <n v="168"/>
    <n v="130.5"/>
    <x v="0"/>
    <x v="4"/>
    <n v="0.6"/>
    <x v="1"/>
    <n v="4.6189376443418013E-3"/>
    <n v="5.2040066870767951"/>
    <n v="4.8713732267627483"/>
    <n v="123.97903264600478"/>
    <n v="1.0525973401697239"/>
  </r>
  <r>
    <s v="MR549"/>
    <s v="P. blochii"/>
    <d v="2018-11-15T00:00:00"/>
    <x v="3"/>
    <n v="199"/>
    <n v="186"/>
    <n v="151.5"/>
    <x v="0"/>
    <x v="4"/>
    <n v="1"/>
    <x v="2"/>
    <n v="6.6445182724252493E-3"/>
    <n v="5.2933048247244923"/>
    <n v="5.0205856249494234"/>
    <n v="160.38785893534876"/>
    <n v="0.94458521365428672"/>
  </r>
  <r>
    <s v="MR550"/>
    <s v="P. blochii"/>
    <d v="2018-11-15T00:00:00"/>
    <x v="3"/>
    <n v="205"/>
    <n v="175"/>
    <n v="165.5"/>
    <x v="1"/>
    <x v="4"/>
    <n v="0.1"/>
    <x v="1"/>
    <n v="6.0459492140266019E-4"/>
    <n v="5.3230099791384085"/>
    <n v="5.1089711948171175"/>
    <n v="174.73087602890504"/>
    <n v="0.94717089366977125"/>
  </r>
  <r>
    <s v="MR551"/>
    <s v="P. blochii"/>
    <d v="2018-11-15T00:00:00"/>
    <x v="3"/>
    <n v="181"/>
    <n v="167"/>
    <n v="128"/>
    <x v="0"/>
    <x v="4"/>
    <n v="0.6"/>
    <x v="1"/>
    <n v="4.7095761381475663E-3"/>
    <n v="5.1984970312658261"/>
    <n v="4.8520302639196169"/>
    <n v="122.02499493504962"/>
    <n v="1.048965419487464"/>
  </r>
  <r>
    <s v="MR552"/>
    <s v="P. blochii"/>
    <d v="2019-02-23T00:00:00"/>
    <x v="2"/>
    <n v="240"/>
    <n v="217"/>
    <n v="237"/>
    <x v="1"/>
    <x v="1"/>
    <n v="4.0999999999999996"/>
    <x v="4"/>
    <n v="1.7604121940747099E-2"/>
    <n v="5.4806389233419912"/>
    <n v="5.4680601411351315"/>
    <n v="275.27063723462055"/>
    <n v="0.8609708699079246"/>
  </r>
  <r>
    <s v="MR553"/>
    <s v="P. blochii"/>
    <d v="2019-03-23T00:00:00"/>
    <x v="2"/>
    <n v="291"/>
    <n v="262"/>
    <n v="492"/>
    <x v="1"/>
    <x v="4"/>
    <n v="9.5"/>
    <x v="4"/>
    <n v="1.9689119170984457E-2"/>
    <n v="5.6733232671714928"/>
    <n v="6.1984787164923079"/>
    <n v="479.78659559752077"/>
    <n v="1.0254559100119685"/>
  </r>
  <r>
    <s v="MR555"/>
    <s v="P. blochii"/>
    <d v="2018-11-15T00:00:00"/>
    <x v="3"/>
    <n v="218"/>
    <n v="193"/>
    <n v="201.5"/>
    <x v="1"/>
    <x v="5"/>
    <n v="0.4"/>
    <x v="0"/>
    <n v="1.9890601690701146E-3"/>
    <n v="5.3844950627890888"/>
    <n v="5.3057893813867381"/>
    <n v="208.62392497014221"/>
    <n v="0.96585279003277413"/>
  </r>
  <r>
    <s v="MR556"/>
    <s v="P. blochii"/>
    <d v="2018-11-15T00:00:00"/>
    <x v="3"/>
    <n v="241"/>
    <n v="220"/>
    <n v="295.5"/>
    <x v="0"/>
    <x v="4"/>
    <n v="2.5"/>
    <x v="4"/>
    <n v="8.5324232081911266E-3"/>
    <n v="5.4847969334906548"/>
    <n v="5.6886688368461531"/>
    <n v="278.59078065338855"/>
    <n v="1.0606955452974922"/>
  </r>
  <r>
    <s v="MR557"/>
    <s v="P. blochii"/>
    <d v="2018-11-15T00:00:00"/>
    <x v="3"/>
    <n v="225"/>
    <n v="212"/>
    <n v="258"/>
    <x v="1"/>
    <x v="4"/>
    <n v="1.6"/>
    <x v="1"/>
    <n v="6.2402496099844005E-3"/>
    <n v="5.4161004022044201"/>
    <n v="5.5529595849216173"/>
    <n v="228.52924007361699"/>
    <n v="1.1289583771288501"/>
  </r>
  <r>
    <s v="MR558"/>
    <s v="P. blochii"/>
    <d v="2018-11-15T00:00:00"/>
    <x v="3"/>
    <n v="199"/>
    <n v="176"/>
    <n v="149"/>
    <x v="1"/>
    <x v="5"/>
    <n v="0"/>
    <x v="4"/>
    <n v="0"/>
    <n v="5.2933048247244923"/>
    <n v="5.0039463059454592"/>
    <n v="160.38785893534876"/>
    <n v="0.92899799890751622"/>
  </r>
  <r>
    <s v="MR559"/>
    <s v="P. blochii"/>
    <d v="2018-11-15T00:00:00"/>
    <x v="3"/>
    <n v="256"/>
    <n v="235"/>
    <n v="347.5"/>
    <x v="0"/>
    <x v="1"/>
    <n v="2.4"/>
    <x v="2"/>
    <n v="6.9545059403071565E-3"/>
    <n v="5.5451774444795623"/>
    <n v="5.8507646650048466"/>
    <n v="331.57211610708919"/>
    <n v="1.0480374649108508"/>
  </r>
  <r>
    <s v="MR560"/>
    <s v="P. blochii"/>
    <d v="2018-11-15T00:00:00"/>
    <x v="3"/>
    <n v="213"/>
    <n v="193"/>
    <n v="201"/>
    <x v="0"/>
    <x v="4"/>
    <n v="1.4"/>
    <x v="1"/>
    <n v="7.0140280561122245E-3"/>
    <n v="5.3612921657094255"/>
    <n v="5.3033049080590757"/>
    <n v="195.12295926303747"/>
    <n v="1.0301196781719568"/>
  </r>
  <r>
    <s v="MR563"/>
    <s v="P.blochii"/>
    <d v="2019-12-23T00:00:00"/>
    <x v="3"/>
    <n v="175"/>
    <n v="155"/>
    <n v="103"/>
    <x v="0"/>
    <x v="4"/>
    <n v="0.45"/>
    <x v="0"/>
    <n v="4.3881033642125793E-3"/>
    <n v="5.1647859739235145"/>
    <n v="4.6347289882296359"/>
    <n v="110.72208554830483"/>
    <n v="0.93025704393062658"/>
  </r>
  <r>
    <s v="MR564"/>
    <s v="P. blochii"/>
    <d v="2019-12-23T00:00:00"/>
    <x v="3"/>
    <n v="221"/>
    <n v="202"/>
    <n v="215"/>
    <x v="0"/>
    <x v="4"/>
    <n v="2.5"/>
    <x v="2"/>
    <n v="1.1764705882352941E-2"/>
    <n v="5.3981627015177525"/>
    <n v="5.3706380281276624"/>
    <n v="217.00980633065038"/>
    <n v="0.99073863819965768"/>
  </r>
  <r>
    <s v="MR565"/>
    <s v="P. blochii"/>
    <d v="2019-12-23T00:00:00"/>
    <x v="3"/>
    <n v="186"/>
    <n v="170"/>
    <n v="113"/>
    <x v="1"/>
    <x v="4"/>
    <n v="0.6"/>
    <x v="2"/>
    <n v="5.3380782918149459E-3"/>
    <n v="5.2257466737132017"/>
    <n v="4.7273878187123408"/>
    <n v="131.99943046092247"/>
    <n v="0.8560642997126634"/>
  </r>
  <r>
    <s v="MR568"/>
    <s v="P. blochii"/>
    <d v="2019-12-23T00:00:00"/>
    <x v="3"/>
    <n v="196"/>
    <n v="177"/>
    <n v="140"/>
    <x v="0"/>
    <x v="4"/>
    <n v="1"/>
    <x v="2"/>
    <n v="7.1942446043165471E-3"/>
    <n v="5.2781146592305168"/>
    <n v="4.9416424226093039"/>
    <n v="153.51459248781111"/>
    <n v="0.9119654212098165"/>
  </r>
  <r>
    <s v="MR569"/>
    <s v="P. blochii"/>
    <d v="2019-12-23T00:00:00"/>
    <x v="3"/>
    <n v="221"/>
    <n v="206"/>
    <n v="218"/>
    <x v="0"/>
    <x v="0"/>
    <n v="6.81"/>
    <x v="0"/>
    <n v="3.2245844973720343E-2"/>
    <n v="5.3981627015177525"/>
    <n v="5.3844950627890888"/>
    <n v="217.00980633065038"/>
    <n v="1.0045628982675598"/>
  </r>
  <r>
    <s v="MR570"/>
    <s v="P. blochii"/>
    <d v="2019-12-23T00:00:00"/>
    <x v="3"/>
    <n v="241"/>
    <n v="215"/>
    <n v="262"/>
    <x v="0"/>
    <x v="4"/>
    <n v="2.6"/>
    <x v="2"/>
    <n v="1.0023130300693911E-2"/>
    <n v="5.4847969334906548"/>
    <n v="5.5683445037610966"/>
    <n v="278.59078065338855"/>
    <n v="0.94044748855479843"/>
  </r>
  <r>
    <s v="MR571"/>
    <s v="P. blochii"/>
    <d v="2019-12-23T00:00:00"/>
    <x v="3"/>
    <n v="278"/>
    <n v="254"/>
    <n v="374"/>
    <x v="0"/>
    <x v="4"/>
    <n v="4.4000000000000004"/>
    <x v="2"/>
    <n v="1.1904761904761906E-2"/>
    <n v="5.6276211136906369"/>
    <n v="5.9242557974145322"/>
    <n v="420.55012456834828"/>
    <n v="0.8893113523242272"/>
  </r>
  <r>
    <s v="MR592"/>
    <s v="P. blochii"/>
    <d v="2021-07-25T00:00:00"/>
    <x v="0"/>
    <n v="199"/>
    <n v="186"/>
    <n v="155.19999999999999"/>
    <x v="1"/>
    <x v="0"/>
    <n v="3.4"/>
    <x v="0"/>
    <n v="2.2397891963109356E-2"/>
    <n v="5.2933048247244923"/>
    <n v="5.0447146077491185"/>
    <n v="160.38785893534876"/>
    <n v="0.96765429147950677"/>
  </r>
  <r>
    <s v="MR593"/>
    <s v="P. blochii"/>
    <d v="2021-07-25T00:00:00"/>
    <x v="0"/>
    <n v="225"/>
    <n v="211"/>
    <n v="244.7"/>
    <x v="1"/>
    <x v="0"/>
    <n v="3.5"/>
    <x v="2"/>
    <n v="1.451077943615257E-2"/>
    <n v="5.4161004022044201"/>
    <n v="5.5000329704486255"/>
    <n v="228.52924007361699"/>
    <n v="1.0707601352070915"/>
  </r>
  <r>
    <s v="MR594"/>
    <s v="P. blochii"/>
    <d v="2021-07-25T00:00:00"/>
    <x v="0"/>
    <n v="301"/>
    <n v="284"/>
    <n v="598.79999999999995"/>
    <x v="0"/>
    <x v="2"/>
    <n v="25.4"/>
    <x v="0"/>
    <n v="4.4297174747122428E-2"/>
    <n v="5.7071102647488754"/>
    <n v="6.3949276525454728"/>
    <n v="528.88073417430167"/>
    <n v="1.1322023308995317"/>
  </r>
  <r>
    <s v="MR600"/>
    <s v="P. blochii"/>
    <d v="2021-07-25T00:00:00"/>
    <x v="0"/>
    <n v="281"/>
    <n v="262"/>
    <n v="424"/>
    <x v="1"/>
    <x v="9"/>
    <n v="4.4000000000000004"/>
    <x v="0"/>
    <n v="1.0486177311725454E-2"/>
    <n v="5.6383546693337454"/>
    <n v="6.0497334552319577"/>
    <n v="433.76930776427548"/>
    <n v="0.97747810278549163"/>
  </r>
  <r>
    <s v="MR601"/>
    <s v="P. blochii"/>
    <d v="2021-07-25T00:00:00"/>
    <x v="0"/>
    <n v="329"/>
    <n v="312"/>
    <n v="733.9"/>
    <x v="0"/>
    <x v="2"/>
    <n v="30.5"/>
    <x v="2"/>
    <n v="4.3360818879727044E-2"/>
    <n v="5.7960577507653719"/>
    <n v="6.598372779551017"/>
    <n v="683.50530765552435"/>
    <n v="1.0737297747069929"/>
  </r>
  <r>
    <s v="MR602"/>
    <s v="P. blochii"/>
    <d v="2021-07-25T00:00:00"/>
    <x v="0"/>
    <n v="207"/>
    <n v="186"/>
    <n v="170.5"/>
    <x v="0"/>
    <x v="2"/>
    <n v="5.7"/>
    <x v="0"/>
    <n v="3.4587378640776698E-2"/>
    <n v="5.3327187932653688"/>
    <n v="5.1387352967235715"/>
    <n v="179.69147727921433"/>
    <n v="0.94884856300150444"/>
  </r>
  <r>
    <s v="MR603"/>
    <s v="P. blochii"/>
    <d v="2021-07-25T00:00:00"/>
    <x v="0"/>
    <n v="255"/>
    <n v="229"/>
    <n v="276.5"/>
    <x v="1"/>
    <x v="0"/>
    <n v="4.5999999999999996"/>
    <x v="2"/>
    <n v="1.6917984553144538E-2"/>
    <n v="5.5412635451584258"/>
    <n v="5.6222108209623896"/>
    <n v="327.85124388098313"/>
    <n v="0.84337029418248999"/>
  </r>
  <r>
    <s v="MR605"/>
    <s v="P. blochii"/>
    <d v="2021-07-25T00:00:00"/>
    <x v="0"/>
    <n v="270"/>
    <n v="242"/>
    <n v="379.9"/>
    <x v="1"/>
    <x v="0"/>
    <n v="6.7"/>
    <x v="2"/>
    <n v="1.7952840300107183E-2"/>
    <n v="5.598421958998375"/>
    <n v="5.9399080601935799"/>
    <n v="386.59233390295867"/>
    <n v="0.9826889120242136"/>
  </r>
  <r>
    <s v="MR606"/>
    <s v="P. blochii"/>
    <d v="2021-07-25T00:00:00"/>
    <x v="0"/>
    <n v="221"/>
    <n v="205"/>
    <n v="200.1"/>
    <x v="1"/>
    <x v="0"/>
    <n v="5.8"/>
    <x v="0"/>
    <n v="2.9850746268656719E-2"/>
    <n v="5.3981627015177525"/>
    <n v="5.2988172415896875"/>
    <n v="217.00980633065038"/>
    <n v="0.92207814652907671"/>
  </r>
  <r>
    <s v="MR607"/>
    <s v="P. blochii"/>
    <d v="2021-07-25T00:00:00"/>
    <x v="0"/>
    <n v="236"/>
    <n v="219"/>
    <n v="256.89999999999998"/>
    <x v="0"/>
    <x v="1"/>
    <n v="10"/>
    <x v="0"/>
    <n v="4.0502227622519239E-2"/>
    <n v="5.4638318050256105"/>
    <n v="5.5486869041158382"/>
    <n v="262.24863689403401"/>
    <n v="0.97960471041000974"/>
  </r>
  <r>
    <s v="MR608"/>
    <s v="P. blochii"/>
    <d v="2021-07-25T00:00:00"/>
    <x v="0"/>
    <n v="263"/>
    <n v="245"/>
    <n v="359"/>
    <x v="1"/>
    <x v="0"/>
    <n v="6.8"/>
    <x v="2"/>
    <n v="1.9307211811470756E-2"/>
    <n v="5.5721540321777647"/>
    <n v="5.8833223884882786"/>
    <n v="358.39284295010236"/>
    <n v="1.0016941104205648"/>
  </r>
  <r>
    <s v="MR609"/>
    <s v="P. blochii"/>
    <d v="2021-07-25T00:00:00"/>
    <x v="0"/>
    <n v="256"/>
    <n v="239"/>
    <n v="318"/>
    <x v="1"/>
    <x v="0"/>
    <n v="6.4"/>
    <x v="2"/>
    <n v="2.0539152759948651E-2"/>
    <n v="5.5451774444795623"/>
    <n v="5.7620513827801769"/>
    <n v="331.57211610708919"/>
    <n v="0.95906737796158426"/>
  </r>
  <r>
    <s v="MR611"/>
    <s v="P. blochii"/>
    <d v="2022-07-31T00:00:00"/>
    <x v="0"/>
    <n v="224"/>
    <n v="202"/>
    <n v="217.5"/>
    <x v="0"/>
    <x v="1"/>
    <n v="3.5"/>
    <x v="2"/>
    <n v="1.6355140186915886E-2"/>
    <n v="5.4116460518550396"/>
    <n v="5.3821988505287388"/>
    <n v="225.61285044185979"/>
    <n v="0.96404083177899269"/>
  </r>
  <r>
    <s v="MR612"/>
    <s v="P. blochii"/>
    <d v="2022-07-31T00:00:00"/>
    <x v="0"/>
    <n v="232"/>
    <n v="207"/>
    <n v="244"/>
    <x v="0"/>
    <x v="0"/>
    <n v="8.2100000000000009"/>
    <x v="1"/>
    <n v="3.481911870732432E-2"/>
    <n v="5.4467373716663099"/>
    <n v="5.4971682252932021"/>
    <n v="249.63576233205887"/>
    <n v="0.97742405863883264"/>
  </r>
  <r>
    <s v="MR613"/>
    <s v="P. blochii"/>
    <d v="2022-07-31T00:00:00"/>
    <x v="0"/>
    <n v="258"/>
    <n v="237"/>
    <n v="326.85000000000002"/>
    <x v="0"/>
    <x v="0"/>
    <n v="9.24"/>
    <x v="2"/>
    <n v="2.9092282988570889E-2"/>
    <n v="5.5529595849216173"/>
    <n v="5.7895013500587389"/>
    <n v="339.0963820606903"/>
    <n v="0.9638852470608239"/>
  </r>
  <r>
    <s v="MR614"/>
    <s v="P. blochii"/>
    <d v="2022-07-31T00:00:00"/>
    <x v="0"/>
    <n v="241"/>
    <n v="218"/>
    <n v="234.5"/>
    <x v="1"/>
    <x v="0"/>
    <n v="5"/>
    <x v="0"/>
    <n v="2.178649237472767E-2"/>
    <n v="5.4847969334906548"/>
    <n v="5.4574555878863338"/>
    <n v="278.59078065338855"/>
    <n v="0.84173639719885585"/>
  </r>
  <r>
    <s v="MR615"/>
    <s v="P. blochii"/>
    <d v="2022-06-02T00:00:00"/>
    <x v="1"/>
    <n v="251"/>
    <n v="204"/>
    <n v="284.93"/>
    <x v="0"/>
    <x v="3"/>
    <n v="21.6"/>
    <x v="0"/>
    <n v="8.2026354763984358E-2"/>
    <n v="5.5254529391317835"/>
    <n v="5.6522435360654955"/>
    <n v="313.24061334248506"/>
    <n v="0.90962023397798886"/>
  </r>
  <r>
    <s v="MR616"/>
    <s v="P. blochii"/>
    <d v="2022-06-02T00:00:00"/>
    <x v="1"/>
    <n v="225"/>
    <n v="211"/>
    <n v="240"/>
    <x v="0"/>
    <x v="0"/>
    <n v="11.5"/>
    <x v="2"/>
    <n v="5.0328227571115977E-2"/>
    <n v="5.4161004022044201"/>
    <n v="5.4806389233419912"/>
    <n v="228.52924007361699"/>
    <n v="1.0501938391896279"/>
  </r>
  <r>
    <s v="MR617"/>
    <s v="P. blochii"/>
    <d v="2022-06-02T00:00:00"/>
    <x v="1"/>
    <n v="226"/>
    <n v="208"/>
    <n v="252"/>
    <x v="0"/>
    <x v="0"/>
    <n v="16.5"/>
    <x v="2"/>
    <n v="7.0063694267515922E-2"/>
    <n v="5.4205349992722862"/>
    <n v="5.5294290875114234"/>
    <n v="231.47014433663401"/>
    <n v="1.0886933203511067"/>
  </r>
  <r>
    <s v="MR618"/>
    <s v="P. blochii"/>
    <d v="2022-06-02T00:00:00"/>
    <x v="1"/>
    <n v="239"/>
    <n v="190"/>
    <n v="271.33"/>
    <x v="0"/>
    <x v="9"/>
    <n v="16.399999999999999"/>
    <x v="2"/>
    <n v="6.4331385086102061E-2"/>
    <n v="5.476463551931511"/>
    <n v="5.6033357922466838"/>
    <n v="271.97644672459353"/>
    <n v="0.99762315181193562"/>
  </r>
  <r>
    <s v="MR619"/>
    <s v="P. blochii"/>
    <d v="2022-06-02T00:00:00"/>
    <x v="1"/>
    <n v="245"/>
    <n v="220"/>
    <n v="250"/>
    <x v="0"/>
    <x v="0"/>
    <n v="11"/>
    <x v="0"/>
    <n v="4.6025104602510462E-2"/>
    <n v="5.5012582105447274"/>
    <n v="5.521460917862246"/>
    <n v="292.13279283513953"/>
    <n v="0.85577520268696261"/>
  </r>
  <r>
    <s v="MR620"/>
    <s v="P. blochii"/>
    <d v="2022-08-08T00:00:00"/>
    <x v="0"/>
    <n v="291"/>
    <n v="263"/>
    <n v="410.24"/>
    <x v="0"/>
    <x v="0"/>
    <n v="17.2"/>
    <x v="2"/>
    <n v="4.376144921636474E-2"/>
    <n v="5.6733232671714928"/>
    <n v="6.0167423542922505"/>
    <n v="479.78659559752077"/>
    <n v="0.8550468140717683"/>
  </r>
  <r>
    <s v="MR621"/>
    <s v="P. blochii"/>
    <d v="2022-08-08T00:00:00"/>
    <x v="0"/>
    <n v="340"/>
    <n v="305"/>
    <n v="697"/>
    <x v="0"/>
    <x v="1"/>
    <n v="30.69"/>
    <x v="0"/>
    <n v="4.605964190842101E-2"/>
    <n v="5.8289456176102075"/>
    <n v="6.5467854107605241"/>
    <n v="751.49413420951498"/>
    <n v="0.92748561601636914"/>
  </r>
  <r>
    <s v="MR622"/>
    <s v="P. blochii"/>
    <d v="2022-08-08T00:00:00"/>
    <x v="0"/>
    <n v="348"/>
    <n v="319"/>
    <n v="699.5"/>
    <x v="0"/>
    <x v="1"/>
    <n v="23"/>
    <x v="0"/>
    <n v="3.399852180339985E-2"/>
    <n v="5.8522024797744745"/>
    <n v="6.5503657941055362"/>
    <n v="803.61662083074532"/>
    <n v="0.87043993599446223"/>
  </r>
  <r>
    <s v="MR623"/>
    <s v="P. blochii"/>
    <d v="2022-08-08T00:00:00"/>
    <x v="0"/>
    <n v="257"/>
    <n v="231"/>
    <n v="310.8"/>
    <x v="0"/>
    <x v="0"/>
    <n v="18.2"/>
    <x v="2"/>
    <n v="6.2200956937799035E-2"/>
    <n v="5.5490760848952201"/>
    <n v="5.7391496184934923"/>
    <n v="335.32046390332602"/>
    <n v="0.92687453781408546"/>
  </r>
  <r>
    <s v="MR624"/>
    <s v="P. blochii"/>
    <d v="2022-05-08T00:00:00"/>
    <x v="1"/>
    <n v="241"/>
    <n v="216"/>
    <n v="281"/>
    <x v="1"/>
    <x v="0"/>
    <n v="16.21"/>
    <x v="2"/>
    <n v="6.1218323954832128E-2"/>
    <n v="5.4847969334906548"/>
    <n v="5.6383546693337454"/>
    <n v="278.59078065338855"/>
    <n v="1.008647878946177"/>
  </r>
  <r>
    <s v="MR625"/>
    <s v="P. blochii"/>
    <d v="2022-05-08T00:00:00"/>
    <x v="1"/>
    <n v="253"/>
    <n v="226"/>
    <n v="328"/>
    <x v="1"/>
    <x v="2"/>
    <n v="16.100000000000001"/>
    <x v="1"/>
    <n v="5.1619108688682282E-2"/>
    <n v="5.5333894887275203"/>
    <n v="5.7930136083841441"/>
    <n v="320.49154675906124"/>
    <n v="1.0234279291197139"/>
  </r>
  <r>
    <s v="MR626"/>
    <s v="P. blochii"/>
    <d v="2022-05-08T00:00:00"/>
    <x v="1"/>
    <n v="283"/>
    <n v="250"/>
    <n v="474.4"/>
    <x v="1"/>
    <x v="0"/>
    <n v="4.25"/>
    <x v="1"/>
    <n v="9.0396681910028722E-3"/>
    <n v="5.6454468976432377"/>
    <n v="6.1620508476835161"/>
    <n v="442.73110443068208"/>
    <n v="1.0715307672137508"/>
  </r>
  <r>
    <s v="MR627"/>
    <s v="P. blochii"/>
    <d v="2022-05-08T00:00:00"/>
    <x v="1"/>
    <n v="222"/>
    <n v="202"/>
    <n v="226.45"/>
    <x v="1"/>
    <x v="0"/>
    <n v="17.14"/>
    <x v="2"/>
    <n v="8.188810854713105E-2"/>
    <n v="5.4026773818722793"/>
    <n v="5.4225241700022231"/>
    <n v="219.85322992095396"/>
    <n v="1.0300053362027832"/>
  </r>
  <r>
    <s v="MR628"/>
    <s v="P. blochii"/>
    <d v="2022-05-08T00:00:00"/>
    <x v="1"/>
    <n v="273"/>
    <n v="247"/>
    <n v="444"/>
    <x v="1"/>
    <x v="2"/>
    <n v="33.15"/>
    <x v="1"/>
    <n v="8.0686381891201156E-2"/>
    <n v="5.6094717951849598"/>
    <n v="6.0958245624322247"/>
    <n v="399.10792563575109"/>
    <n v="1.1124810395402169"/>
  </r>
  <r>
    <s v="MR629"/>
    <s v="P. blochii"/>
    <d v="2022-05-08T00:00:00"/>
    <x v="1"/>
    <n v="322"/>
    <n v="299"/>
    <n v="720.5"/>
    <x v="1"/>
    <x v="2"/>
    <n v="34.549999999999997"/>
    <x v="0"/>
    <n v="5.0368102631387121E-2"/>
    <n v="5.7745515455444085"/>
    <n v="6.5799454154395765"/>
    <n v="642.40783530889144"/>
    <n v="1.1215616628548113"/>
  </r>
  <r>
    <s v="MR630"/>
    <s v="P. blochii"/>
    <d v="2022-06-02T00:00:00"/>
    <x v="1"/>
    <n v="284"/>
    <n v="262"/>
    <n v="437"/>
    <x v="1"/>
    <x v="0"/>
    <n v="16.899999999999999"/>
    <x v="0"/>
    <n v="4.0228517019757194E-2"/>
    <n v="5.6489742381612063"/>
    <n v="6.0799331950955899"/>
    <n v="447.25698643072832"/>
    <n v="0.97706690618165015"/>
  </r>
  <r>
    <s v="MR631"/>
    <s v="P. blochii"/>
    <d v="2022-07-07T00:00:00"/>
    <x v="0"/>
    <n v="307"/>
    <n v="277"/>
    <n v="549"/>
    <x v="1"/>
    <x v="2"/>
    <n v="21.19"/>
    <x v="2"/>
    <n v="4.0147022602830568E-2"/>
    <n v="5.7268477475871968"/>
    <n v="6.3080984415095305"/>
    <n v="559.8529015246155"/>
    <n v="0.98061472666291372"/>
  </r>
  <r>
    <s v="MR632"/>
    <s v="P. blochii"/>
    <d v="2022-05-08T00:00:00"/>
    <x v="1"/>
    <n v="263"/>
    <n v="234"/>
    <n v="345.5"/>
    <x v="1"/>
    <x v="1"/>
    <n v="20.2"/>
    <x v="0"/>
    <n v="6.2096526283430674E-2"/>
    <n v="5.5721540321777647"/>
    <n v="5.8449926432077248"/>
    <n v="358.39284295010236"/>
    <n v="0.96402594749388626"/>
  </r>
  <r>
    <s v="MR633"/>
    <s v="P. blochii"/>
    <d v="2022-05-08T00:00:00"/>
    <x v="1"/>
    <n v="296"/>
    <n v="257"/>
    <n v="523.29999999999995"/>
    <x v="1"/>
    <x v="1"/>
    <n v="29.62"/>
    <x v="1"/>
    <n v="5.99983795170961E-2"/>
    <n v="5.6903594543240601"/>
    <n v="6.2601549133781624"/>
    <n v="503.94322350837319"/>
    <n v="1.0384106295881268"/>
  </r>
  <r>
    <s v="MR636"/>
    <s v="P. blochii"/>
    <d v="2022-08-08T00:00:00"/>
    <x v="0"/>
    <n v="330"/>
    <n v="298"/>
    <n v="593.21"/>
    <x v="1"/>
    <x v="0"/>
    <n v="8.43"/>
    <x v="1"/>
    <n v="1.4415677690755494E-2"/>
    <n v="5.7990926544605257"/>
    <n v="6.3855484678425238"/>
    <n v="689.51280791816646"/>
    <n v="0.86033209708035485"/>
  </r>
  <r>
    <s v="MR637"/>
    <s v="P. blochii"/>
    <d v="2022-06-02T00:00:00"/>
    <x v="1"/>
    <n v="247"/>
    <n v="224"/>
    <n v="250.05"/>
    <x v="1"/>
    <x v="1"/>
    <n v="5.2"/>
    <x v="2"/>
    <n v="2.1237492342250357E-2"/>
    <n v="5.5093883366279774"/>
    <n v="5.5216608978649129"/>
    <n v="299.0619973383607"/>
    <n v="0.83611425799812278"/>
  </r>
  <r>
    <s v="MR638"/>
    <s v="P. blochii"/>
    <d v="2022-06-02T00:00:00"/>
    <x v="1"/>
    <n v="239"/>
    <n v="228"/>
    <n v="270.32"/>
    <x v="0"/>
    <x v="0"/>
    <n v="17.809999999999999"/>
    <x v="1"/>
    <n v="7.0531860124351503E-2"/>
    <n v="5.476463551931511"/>
    <n v="5.5996064424060341"/>
    <n v="271.97644672459353"/>
    <n v="0.99390959495006981"/>
  </r>
  <r>
    <s v="MR639"/>
    <s v="P. blochii"/>
    <d v="2022-06-02T00:00:00"/>
    <x v="1"/>
    <n v="229"/>
    <n v="206"/>
    <n v="242.64"/>
    <x v="1"/>
    <x v="0"/>
    <n v="13.28"/>
    <x v="1"/>
    <n v="5.7900244157656086E-2"/>
    <n v="5.43372200355424"/>
    <n v="5.491578863380326"/>
    <n v="240.44090691916568"/>
    <n v="1.0091460854519803"/>
  </r>
  <r>
    <s v="MR641"/>
    <s v="P. blochii"/>
    <d v="2022-05-08T00:00:00"/>
    <x v="1"/>
    <n v="235"/>
    <n v="214"/>
    <n v="271.8"/>
    <x v="0"/>
    <x v="1"/>
    <n v="14.65"/>
    <x v="1"/>
    <n v="5.6970639704452646E-2"/>
    <n v="5.4595855141441589"/>
    <n v="5.6050665017170438"/>
    <n v="259.05730203203751"/>
    <n v="1.0491887233751342"/>
  </r>
  <r>
    <s v="MR642"/>
    <s v="P. blochii"/>
    <d v="2022-05-08T00:00:00"/>
    <x v="1"/>
    <n v="243"/>
    <n v="220"/>
    <n v="297.5"/>
    <x v="1"/>
    <x v="2"/>
    <n v="23.55"/>
    <x v="2"/>
    <n v="8.5964592078846505E-2"/>
    <n v="5.4930614433405482"/>
    <n v="5.6954142249856847"/>
    <n v="285.309308193135"/>
    <n v="1.0427279848809305"/>
  </r>
  <r>
    <s v="MR643"/>
    <s v="P. blochii"/>
    <d v="2022-06-02T00:00:00"/>
    <x v="1"/>
    <n v="252"/>
    <n v="230"/>
    <n v="239"/>
    <x v="0"/>
    <x v="1"/>
    <n v="17.579999999999998"/>
    <x v="2"/>
    <n v="7.9396621804715004E-2"/>
    <n v="5.5294290875114234"/>
    <n v="5.476463551931511"/>
    <n v="316.8525320645719"/>
    <n v="0.75429411418209458"/>
  </r>
  <r>
    <s v="MR644"/>
    <s v="P. blochii"/>
    <d v="2022-05-08T00:00:00"/>
    <x v="1"/>
    <n v="251"/>
    <n v="230"/>
    <n v="340.85"/>
    <x v="0"/>
    <x v="0"/>
    <n v="33.85"/>
    <x v="2"/>
    <n v="0.11026058631921824"/>
    <n v="5.5254529391317835"/>
    <n v="5.8314424978087942"/>
    <n v="313.24061334248506"/>
    <n v="1.0881411460758696"/>
  </r>
  <r>
    <s v="MR645"/>
    <s v="P. blochii"/>
    <d v="2022-05-08T00:00:00"/>
    <x v="1"/>
    <n v="243"/>
    <n v="220"/>
    <n v="296"/>
    <x v="1"/>
    <x v="0"/>
    <n v="17.87"/>
    <x v="1"/>
    <n v="6.4250530327544672E-2"/>
    <n v="5.4930614433405482"/>
    <n v="5.6903594543240601"/>
    <n v="285.309308193135"/>
    <n v="1.0374705328563207"/>
  </r>
  <r>
    <s v="MR646"/>
    <s v="P. blochii"/>
    <d v="2022-06-02T00:00:00"/>
    <x v="1"/>
    <n v="249"/>
    <n v="228"/>
    <n v="345.8"/>
    <x v="1"/>
    <x v="2"/>
    <n v="34.25"/>
    <x v="1"/>
    <n v="0.10993419996790242"/>
    <n v="5.5174528964647074"/>
    <n v="5.8458605732491904"/>
    <n v="306.09768373608546"/>
    <n v="1.1297047262146078"/>
  </r>
  <r>
    <s v="MR647"/>
    <s v="P. blochii"/>
    <d v="2022-06-02T00:00:00"/>
    <x v="1"/>
    <n v="232"/>
    <n v="204"/>
    <n v="256.25"/>
    <x v="0"/>
    <x v="0"/>
    <n v="12.7"/>
    <x v="2"/>
    <n v="5.2145350030794492E-2"/>
    <n v="5.4467373716663099"/>
    <n v="5.5461535304526182"/>
    <n v="249.63576233205887"/>
    <n v="1.0264955533860691"/>
  </r>
  <r>
    <s v="MR648"/>
    <s v="P. blochii"/>
    <d v="2022-06-02T00:00:00"/>
    <x v="1"/>
    <n v="251"/>
    <n v="226"/>
    <n v="296"/>
    <x v="1"/>
    <x v="0"/>
    <n v="15.7"/>
    <x v="0"/>
    <n v="5.6011416339636098E-2"/>
    <n v="5.5254529391317835"/>
    <n v="5.6903594543240601"/>
    <n v="313.24061334248506"/>
    <n v="0.94496047891582036"/>
  </r>
  <r>
    <s v="MR649"/>
    <s v="P. blochii"/>
    <d v="2022-08-05T00:00:00"/>
    <x v="0"/>
    <n v="264"/>
    <n v="216"/>
    <n v="383.9"/>
    <x v="0"/>
    <x v="4"/>
    <n v="23.7"/>
    <x v="1"/>
    <n v="6.5796779566907271E-2"/>
    <n v="5.575949103146316"/>
    <n v="5.9503821020067518"/>
    <n v="362.33617149040566"/>
    <n v="1.0595133199671878"/>
  </r>
  <r>
    <s v="MR649"/>
    <s v="P. blochii"/>
    <d v="2022-05-08T00:00:00"/>
    <x v="1"/>
    <n v="264"/>
    <n v="216"/>
    <n v="383"/>
    <x v="0"/>
    <x v="4"/>
    <n v="23.7"/>
    <x v="1"/>
    <n v="6.5961591984414134E-2"/>
    <n v="5.575949103146316"/>
    <n v="5.9480349891806457"/>
    <n v="362.33617149040566"/>
    <n v="1.0570294387794554"/>
  </r>
  <r>
    <s v="MR650"/>
    <s v="P. blochii"/>
    <d v="2022-05-08T00:00:00"/>
    <x v="1"/>
    <n v="269"/>
    <n v="244"/>
    <n v="282.5"/>
    <x v="0"/>
    <x v="5"/>
    <n v="8.34"/>
    <x v="2"/>
    <n v="3.0420192588269619E-2"/>
    <n v="5.5947113796018391"/>
    <n v="5.6436785505864959"/>
    <n v="382.47819318128876"/>
    <n v="0.73860420028207818"/>
  </r>
  <r>
    <s v="MR651"/>
    <s v="P. blochii"/>
    <d v="2022-05-08T00:00:00"/>
    <x v="1"/>
    <n v="255"/>
    <n v="232"/>
    <n v="341.97"/>
    <x v="1"/>
    <x v="1"/>
    <n v="29.37"/>
    <x v="2"/>
    <n v="9.3953934740882913E-2"/>
    <n v="5.5412635451584258"/>
    <n v="5.8347230139167969"/>
    <n v="327.85124388098313"/>
    <n v="1.0430645189930781"/>
  </r>
  <r>
    <s v="MR652"/>
    <s v="P. blochii"/>
    <d v="2022-05-08T00:00:00"/>
    <x v="1"/>
    <n v="262"/>
    <n v="238"/>
    <n v="363.7"/>
    <x v="0"/>
    <x v="1"/>
    <n v="6.73"/>
    <x v="0"/>
    <n v="1.8853124912457633E-2"/>
    <n v="5.5683445037610966"/>
    <n v="5.8963293519929429"/>
    <n v="354.4776526204729"/>
    <n v="1.0260167243586471"/>
  </r>
  <r>
    <s v="MR653"/>
    <s v="P. blochii"/>
    <d v="2022-06-02T00:00:00"/>
    <x v="1"/>
    <n v="251"/>
    <n v="230"/>
    <n v="330.93"/>
    <x v="0"/>
    <x v="2"/>
    <n v="16.399999999999999"/>
    <x v="1"/>
    <n v="5.2141290178997227E-2"/>
    <n v="5.5254529391317835"/>
    <n v="5.8019068726493996"/>
    <n v="313.24061334248506"/>
    <n v="1.0564722002959881"/>
  </r>
  <r>
    <s v="MR654"/>
    <s v="P. blochii"/>
    <d v="2023-05-17T00:00:00"/>
    <x v="1"/>
    <n v="239"/>
    <n v="215"/>
    <n v="255.4"/>
    <x v="1"/>
    <x v="2"/>
    <n v="10.8"/>
    <x v="0"/>
    <n v="4.4153720359771061E-2"/>
    <n v="5.476463551931511"/>
    <n v="5.5428309435984389"/>
    <n v="271.97644672459353"/>
    <n v="0.93905190348567569"/>
  </r>
  <r>
    <s v="MR655"/>
    <s v="P. blochii"/>
    <d v="2023-05-17T00:00:00"/>
    <x v="1"/>
    <n v="318"/>
    <n v="293"/>
    <n v="653.29999999999995"/>
    <x v="0"/>
    <x v="0"/>
    <n v="64.5"/>
    <x v="2"/>
    <n v="0.10954483695652174"/>
    <n v="5.7620513827801769"/>
    <n v="6.4820364418467049"/>
    <n v="619.66583041719502"/>
    <n v="1.0542779155019093"/>
  </r>
  <r>
    <s v="MR656"/>
    <s v="P. blochii"/>
    <d v="2023-05-17T00:00:00"/>
    <x v="1"/>
    <n v="255"/>
    <n v="232"/>
    <n v="286.60000000000002"/>
    <x v="1"/>
    <x v="1"/>
    <n v="1.3"/>
    <x v="2"/>
    <n v="4.5566070802663863E-3"/>
    <n v="5.5412635451584258"/>
    <n v="5.6580875153940715"/>
    <n v="327.85124388098313"/>
    <n v="0.87417694868969853"/>
  </r>
  <r>
    <s v="MR657"/>
    <s v="P. blochii"/>
    <d v="2023-05-17T00:00:00"/>
    <x v="1"/>
    <n v="242"/>
    <n v="220"/>
    <n v="266.5"/>
    <x v="0"/>
    <x v="0"/>
    <n v="12.6"/>
    <x v="0"/>
    <n v="4.9625836943678614E-2"/>
    <n v="5.4889377261566867"/>
    <n v="5.5853742436058988"/>
    <n v="281.93697248644321"/>
    <n v="0.94524672535743604"/>
  </r>
  <r>
    <s v="MR658"/>
    <s v="P. blochii"/>
    <d v="2023-05-17T00:00:00"/>
    <x v="1"/>
    <n v="234"/>
    <n v="211"/>
    <n v="224"/>
    <x v="1"/>
    <x v="0"/>
    <n v="5.7"/>
    <x v="2"/>
    <n v="2.6110856619331196E-2"/>
    <n v="5.4553211153577017"/>
    <n v="5.4116460518550396"/>
    <n v="255.89144185053246"/>
    <n v="0.87537120577420324"/>
  </r>
  <r>
    <s v="MR659"/>
    <s v="P. blochii"/>
    <d v="2023-08-12T00:00:00"/>
    <x v="0"/>
    <n v="272"/>
    <n v="248"/>
    <n v="342"/>
    <x v="0"/>
    <x v="0"/>
    <n v="9.6999999999999993"/>
    <x v="2"/>
    <n v="2.9190490520613899E-2"/>
    <n v="5.6058020662959978"/>
    <n v="5.8348107370626048"/>
    <n v="394.90710594499711"/>
    <n v="0.86602645242760956"/>
  </r>
  <r>
    <s v="MR660"/>
    <s v="P. blochii"/>
    <d v="2023-08-06T00:00:00"/>
    <x v="0"/>
    <n v="307"/>
    <n v="275"/>
    <n v="432"/>
    <x v="1"/>
    <x v="1"/>
    <n v="12.9"/>
    <x v="0"/>
    <n v="3.0780243378668574E-2"/>
    <n v="5.7268477475871968"/>
    <n v="6.0684255882441107"/>
    <n v="559.8529015246155"/>
    <n v="0.77163126032491569"/>
  </r>
  <r>
    <s v="MR661"/>
    <s v="P. blochii"/>
    <d v="2023-08-06T00:00:00"/>
    <x v="0"/>
    <n v="295"/>
    <n v="267"/>
    <n v="439.3"/>
    <x v="0"/>
    <x v="0"/>
    <n v="14"/>
    <x v="2"/>
    <n v="3.2917940277451208E-2"/>
    <n v="5.6869753563398202"/>
    <n v="6.0851825509817337"/>
    <n v="499.04980022759258"/>
    <n v="0.88027287016176825"/>
  </r>
  <r>
    <s v="MR662"/>
    <s v="P. blochii"/>
    <d v="2023-08-12T00:00:00"/>
    <x v="0"/>
    <n v="281"/>
    <n v="263"/>
    <n v="413.3"/>
    <x v="0"/>
    <x v="1"/>
    <n v="13.7"/>
    <x v="2"/>
    <n v="3.4284284284284282E-2"/>
    <n v="5.6383546693337454"/>
    <n v="6.0241737215176867"/>
    <n v="433.76930776427548"/>
    <n v="0.9528106129274615"/>
  </r>
  <r>
    <s v="MR663"/>
    <s v="P. blochii"/>
    <d v="2023-08-12T00:00:00"/>
    <x v="0"/>
    <n v="251"/>
    <n v="228"/>
    <n v="292.10000000000002"/>
    <x v="0"/>
    <x v="1"/>
    <n v="5.6"/>
    <x v="1"/>
    <n v="1.9546247818499125E-2"/>
    <n v="5.5254529391317835"/>
    <n v="5.677096209393695"/>
    <n v="313.24061334248506"/>
    <n v="0.93250998611929448"/>
  </r>
  <r>
    <s v="MR664"/>
    <s v="P. blochii"/>
    <d v="2023-08-12T00:00:00"/>
    <x v="0"/>
    <n v="262"/>
    <n v="242"/>
    <n v="355.8"/>
    <x v="1"/>
    <x v="1"/>
    <n v="5.6"/>
    <x v="2"/>
    <n v="1.5990862364363222E-2"/>
    <n v="5.5683445037610966"/>
    <n v="5.8743687752317344"/>
    <n v="354.4776526204729"/>
    <n v="1.0037304111267711"/>
  </r>
  <r>
    <s v="MR665"/>
    <s v="P. blochii"/>
    <d v="2023-08-12T00:00:00"/>
    <x v="0"/>
    <n v="270"/>
    <n v="243"/>
    <n v="326.5"/>
    <x v="1"/>
    <x v="0"/>
    <n v="11.7"/>
    <x v="0"/>
    <n v="3.7166454891994917E-2"/>
    <n v="5.598421958998375"/>
    <n v="5.7884299487164856"/>
    <n v="386.59233390295867"/>
    <n v="0.84455890964965985"/>
  </r>
  <r>
    <s v="MR666"/>
    <s v="P. blochii"/>
    <d v="2023-03-24T00:00:00"/>
    <x v="2"/>
    <n v="285"/>
    <n v="259"/>
    <n v="410.6"/>
    <x v="0"/>
    <x v="1"/>
    <n v="8.85"/>
    <x v="2"/>
    <n v="2.2028624766645924E-2"/>
    <n v="5.6524891802686508"/>
    <n v="6.0176195045848333"/>
    <n v="451.81298247656548"/>
    <n v="0.90878309372461852"/>
  </r>
  <r>
    <s v="MR667"/>
    <s v="P. blochii"/>
    <d v="2023-03-24T00:00:00"/>
    <x v="2"/>
    <n v="262"/>
    <n v="237"/>
    <n v="346.8"/>
    <x v="0"/>
    <x v="0"/>
    <n v="9.1999999999999993"/>
    <x v="1"/>
    <n v="2.725118483412322E-2"/>
    <n v="5.5683445037610966"/>
    <n v="5.8487482449063872"/>
    <n v="354.4776526204729"/>
    <n v="0.97834094035627939"/>
  </r>
  <r>
    <s v="MR668"/>
    <s v="P. blochii"/>
    <d v="2023-03-24T00:00:00"/>
    <x v="2"/>
    <n v="270"/>
    <n v="243"/>
    <n v="352.3"/>
    <x v="1"/>
    <x v="1"/>
    <n v="6.1"/>
    <x v="2"/>
    <n v="1.7619872905834777E-2"/>
    <n v="5.598421958998375"/>
    <n v="5.8644830853471923"/>
    <n v="386.59233390295867"/>
    <n v="0.91129587708905102"/>
  </r>
  <r>
    <s v="MR669"/>
    <s v="P. blochii"/>
    <d v="2023-03-24T00:00:00"/>
    <x v="2"/>
    <n v="276"/>
    <n v="257"/>
    <n v="388.4"/>
    <x v="0"/>
    <x v="1"/>
    <n v="6.5"/>
    <x v="2"/>
    <n v="1.7020162346163919E-2"/>
    <n v="5.6204008657171496"/>
    <n v="5.9620357364171701"/>
    <n v="411.88524876176075"/>
    <n v="0.94298108797932478"/>
  </r>
  <r>
    <s v="MR670"/>
    <s v="P. blochii"/>
    <d v="2023-06-01T00:00:00"/>
    <x v="1"/>
    <n v="326"/>
    <n v="294"/>
    <n v="617.5"/>
    <x v="1"/>
    <x v="0"/>
    <n v="17.2"/>
    <x v="2"/>
    <n v="2.8652340496418457E-2"/>
    <n v="5.7868973813667077"/>
    <n v="6.4256790685021326"/>
    <n v="665.68819326913547"/>
    <n v="0.9276114647121988"/>
  </r>
  <r>
    <s v="MR671"/>
    <s v="P. blochii"/>
    <d v="2023-06-01T00:00:00"/>
    <x v="1"/>
    <n v="245"/>
    <n v="224"/>
    <n v="264.3"/>
    <x v="0"/>
    <x v="4"/>
    <n v="2.8"/>
    <x v="2"/>
    <n v="1.0707456978967494E-2"/>
    <n v="5.5012582105447274"/>
    <n v="5.577084821610244"/>
    <n v="292.13279283513953"/>
    <n v="0.90472554428065699"/>
  </r>
  <r>
    <s v="MR672"/>
    <s v="P. blochii"/>
    <d v="2023-06-01T00:00:00"/>
    <x v="1"/>
    <n v="291"/>
    <n v="266"/>
    <n v="420.5"/>
    <x v="0"/>
    <x v="2"/>
    <n v="26"/>
    <x v="2"/>
    <n v="6.5906210392902412E-2"/>
    <n v="5.6733232671714928"/>
    <n v="6.0414444794130029"/>
    <n v="479.78659559752077"/>
    <n v="0.87643132146348124"/>
  </r>
  <r>
    <s v="MR673"/>
    <s v="P. blochii"/>
    <d v="2023-06-01T00:00:00"/>
    <x v="1"/>
    <n v="258"/>
    <n v="232"/>
    <n v="314"/>
    <x v="0"/>
    <x v="4"/>
    <n v="4"/>
    <x v="0"/>
    <n v="1.2903225806451613E-2"/>
    <n v="5.5529595849216173"/>
    <n v="5.7493929859082531"/>
    <n v="339.0963820606903"/>
    <n v="0.92599041632889312"/>
  </r>
  <r>
    <s v="MR674"/>
    <s v="P. blochii"/>
    <d v="2023-07-25T00:00:00"/>
    <x v="0"/>
    <n v="313"/>
    <n v="287"/>
    <n v="525"/>
    <x v="0"/>
    <x v="0"/>
    <n v="23.5"/>
    <x v="1"/>
    <n v="4.6859421734795612E-2"/>
    <n v="5.7462031905401529"/>
    <n v="6.2633982625916236"/>
    <n v="591.98637564739602"/>
    <n v="0.88684473426581867"/>
  </r>
  <r>
    <s v="MR675"/>
    <s v="P. blochii"/>
    <d v="2023-04-12T00:00:00"/>
    <x v="1"/>
    <n v="278"/>
    <n v="250"/>
    <n v="379"/>
    <x v="0"/>
    <x v="0"/>
    <n v="9.6"/>
    <x v="0"/>
    <n v="2.5988088792636709E-2"/>
    <n v="5.6276211136906369"/>
    <n v="5.9375362050824263"/>
    <n v="420.55012456834828"/>
    <n v="0.9012005415264227"/>
  </r>
  <r>
    <s v="MR676"/>
    <s v="P. blochii"/>
    <d v="2023-08-12T00:00:00"/>
    <x v="0"/>
    <n v="273"/>
    <n v="240"/>
    <n v="365"/>
    <x v="1"/>
    <x v="4"/>
    <n v="2.0499999999999998"/>
    <x v="0"/>
    <n v="5.6481609037057441E-3"/>
    <n v="5.6094717951849598"/>
    <n v="5.8998973535824915"/>
    <n v="399.10792563575109"/>
    <n v="0.91453959331571899"/>
  </r>
  <r>
    <s v="MR677"/>
    <s v="P. blochii"/>
    <d v="2023-06-06T00:00:00"/>
    <x v="1"/>
    <n v="399"/>
    <n v="361"/>
    <n v="1064.7"/>
    <x v="1"/>
    <x v="0"/>
    <n v="18.8"/>
    <x v="0"/>
    <n v="1.7974949803996557E-2"/>
    <n v="5.9889614168898637"/>
    <n v="6.9704483483205602"/>
    <n v="1192.078235849973"/>
    <n v="0.89314607714555749"/>
  </r>
  <r>
    <s v="MR678"/>
    <s v="P. blochii"/>
    <d v="2023-08-06T00:00:00"/>
    <x v="0"/>
    <n v="260"/>
    <n v="240"/>
    <n v="334.1"/>
    <x v="0"/>
    <x v="5"/>
    <n v="12.2"/>
    <x v="0"/>
    <n v="3.7899968934451689E-2"/>
    <n v="5.5606816310155276"/>
    <n v="5.8114403493627105"/>
    <n v="346.73130840801252"/>
    <n v="0.96357032635440942"/>
  </r>
  <r>
    <s v="MR679"/>
    <s v="P. blochii"/>
    <d v="2023-07-25T00:00:00"/>
    <x v="0"/>
    <n v="365"/>
    <n v="331"/>
    <n v="819.6"/>
    <x v="1"/>
    <x v="1"/>
    <n v="10.4"/>
    <x v="0"/>
    <n v="1.2852199703410776E-2"/>
    <n v="5.8998973535824915"/>
    <n v="6.708816416364745"/>
    <n v="922.09280058569982"/>
    <n v="0.88884762952210683"/>
  </r>
  <r>
    <s v="MR680"/>
    <s v="P. blochii"/>
    <d v="2023-07-25T00:00:00"/>
    <x v="0"/>
    <n v="273"/>
    <n v="242"/>
    <n v="339.7"/>
    <x v="0"/>
    <x v="1"/>
    <n v="7.95"/>
    <x v="2"/>
    <n v="2.3963828183873399E-2"/>
    <n v="5.6094717951849598"/>
    <n v="5.8280628751665384"/>
    <n v="399.10792563575109"/>
    <n v="0.85114821876534164"/>
  </r>
  <r>
    <s v="MR681"/>
    <s v="P. blochii"/>
    <d v="2023-05-01T00:00:00"/>
    <x v="1"/>
    <n v="275"/>
    <n v="252"/>
    <n v="389"/>
    <x v="1"/>
    <x v="1"/>
    <n v="13.8"/>
    <x v="2"/>
    <n v="3.6780383795309173E-2"/>
    <n v="5.6167710976665717"/>
    <n v="5.9635793436184459"/>
    <n v="407.59690297976448"/>
    <n v="0.95437427800895791"/>
  </r>
  <r>
    <s v="MR682"/>
    <s v="P. blochii"/>
    <d v="2023-06-01T00:00:00"/>
    <x v="1"/>
    <n v="265"/>
    <n v="240"/>
    <n v="346.6"/>
    <x v="0"/>
    <x v="1"/>
    <n v="8.15"/>
    <x v="2"/>
    <n v="2.4080366376126455E-2"/>
    <n v="5.579729825986222"/>
    <n v="5.8481713772815054"/>
    <n v="366.30773273526648"/>
    <n v="0.94619897159116373"/>
  </r>
  <r>
    <s v="MR686"/>
    <s v="P. blochii"/>
    <d v="2023-05-01T00:00:00"/>
    <x v="1"/>
    <n v="338"/>
    <n v="316"/>
    <n v="831.4"/>
    <x v="1"/>
    <x v="2"/>
    <n v="55.3"/>
    <x v="1"/>
    <n v="7.1253704419533562E-2"/>
    <n v="5.8230458954830189"/>
    <n v="6.723111026818537"/>
    <n v="738.81837967601177"/>
    <n v="1.1253103913908955"/>
  </r>
  <r>
    <s v="MR687"/>
    <s v="P. blochii"/>
    <d v="2023-05-01T00:00:00"/>
    <x v="1"/>
    <n v="372"/>
    <n v="345"/>
    <n v="1095.5"/>
    <x v="0"/>
    <x v="0"/>
    <n v="86.7"/>
    <x v="2"/>
    <n v="8.5943695479777954E-2"/>
    <n v="5.9188938542731462"/>
    <n v="6.998966159035521"/>
    <n v="974.00890054283411"/>
    <n v="1.1247330485270273"/>
  </r>
  <r>
    <s v="MR688"/>
    <s v="P. blochii"/>
    <d v="2023-05-17T00:00:00"/>
    <x v="1"/>
    <n v="334"/>
    <n v="301"/>
    <n v="763.6"/>
    <x v="0"/>
    <x v="2"/>
    <n v="55"/>
    <x v="3"/>
    <n v="7.7617837990403615E-2"/>
    <n v="5.8111409929767008"/>
    <n v="6.6380440918515928"/>
    <n v="713.88757443588895"/>
    <n v="1.0696362107204256"/>
  </r>
  <r>
    <s v="MR689"/>
    <s v="P. blochii"/>
    <d v="2023-05-17T00:00:00"/>
    <x v="1"/>
    <n v="286"/>
    <n v="257"/>
    <n v="494.6"/>
    <x v="0"/>
    <x v="0"/>
    <n v="27.2"/>
    <x v="0"/>
    <n v="5.8194266153187839E-2"/>
    <n v="5.6559918108198524"/>
    <n v="6.2037493550873162"/>
    <n v="456.39918622100356"/>
    <n v="1.0837004423590237"/>
  </r>
  <r>
    <s v="MR690"/>
    <s v="P. blochii"/>
    <d v="2023-05-17T00:00:00"/>
    <x v="1"/>
    <n v="225"/>
    <n v="210"/>
    <n v="210.6"/>
    <x v="0"/>
    <x v="4"/>
    <n v="4.5"/>
    <x v="2"/>
    <n v="2.1834061135371181E-2"/>
    <n v="5.4161004022044201"/>
    <n v="5.3499605996998749"/>
    <n v="228.52924007361699"/>
    <n v="0.92154509388889849"/>
  </r>
  <r>
    <s v="MR691"/>
    <s v="P. blochii"/>
    <d v="2023-05-17T00:00:00"/>
    <x v="1"/>
    <n v="275"/>
    <n v="265"/>
    <n v="474"/>
    <x v="1"/>
    <x v="0"/>
    <n v="16.399999999999999"/>
    <x v="1"/>
    <n v="3.5839160839160833E-2"/>
    <n v="5.6167710976665717"/>
    <n v="6.1612073216950769"/>
    <n v="407.59690297976448"/>
    <n v="1.1629136446690129"/>
  </r>
  <r>
    <s v="MR692"/>
    <s v="P. blochii"/>
    <d v="2023-05-17T00:00:00"/>
    <x v="1"/>
    <n v="259"/>
    <n v="232"/>
    <n v="294.89999999999998"/>
    <x v="0"/>
    <x v="1"/>
    <n v="10.199999999999999"/>
    <x v="2"/>
    <n v="3.5827186512118019E-2"/>
    <n v="5.5568280616995374"/>
    <n v="5.6866363158212305"/>
    <n v="342.8999653271876"/>
    <n v="0.86001758477465251"/>
  </r>
  <r>
    <s v="MR693"/>
    <s v="P. blochii"/>
    <d v="2023-05-17T00:00:00"/>
    <x v="1"/>
    <n v="261"/>
    <n v="239"/>
    <n v="291.60000000000002"/>
    <x v="0"/>
    <x v="1"/>
    <n v="15.4"/>
    <x v="2"/>
    <n v="5.5756698044894998E-2"/>
    <n v="5.5645204073226937"/>
    <n v="5.6753830001345031"/>
    <n v="350.5905059657315"/>
    <n v="0.83173957947538513"/>
  </r>
  <r>
    <s v="MR694"/>
    <s v="P. blochii"/>
    <d v="2023-06-01T00:00:00"/>
    <x v="1"/>
    <n v="283"/>
    <n v="257"/>
    <n v="400.7"/>
    <x v="1"/>
    <x v="1"/>
    <n v="6.25"/>
    <x v="2"/>
    <n v="1.5844847255672454E-2"/>
    <n v="5.6454468976432377"/>
    <n v="5.9932130176420992"/>
    <n v="442.73110443068208"/>
    <n v="0.90506403546068703"/>
  </r>
  <r>
    <s v="MR695"/>
    <s v="P. blochii"/>
    <d v="2023-08-06T00:00:00"/>
    <x v="0"/>
    <n v="302"/>
    <n v="275"/>
    <n v="531.9"/>
    <x v="1"/>
    <x v="0"/>
    <n v="25.1"/>
    <x v="2"/>
    <n v="4.9526440410418315E-2"/>
    <n v="5.7104270173748697"/>
    <n v="6.2764555017482717"/>
    <n v="533.96296706879502"/>
    <n v="0.99613649785467373"/>
  </r>
  <r>
    <s v="MR696"/>
    <s v="P. blochii"/>
    <d v="2023-07-25T00:00:00"/>
    <x v="0"/>
    <n v="335"/>
    <n v="306"/>
    <n v="665"/>
    <x v="1"/>
    <x v="0"/>
    <n v="10.55"/>
    <x v="2"/>
    <n v="1.612040644816258E-2"/>
    <n v="5.8141305318250662"/>
    <n v="6.4997870406558542"/>
    <n v="720.06791734181627"/>
    <n v="0.92352399542378794"/>
  </r>
  <r>
    <s v="MR697"/>
    <s v="P. blochii"/>
    <d v="2023-07-25T00:00:00"/>
    <x v="0"/>
    <n v="353"/>
    <n v="320"/>
    <n v="797.1"/>
    <x v="0"/>
    <x v="0"/>
    <n v="46.9"/>
    <x v="0"/>
    <n v="6.2516662223407085E-2"/>
    <n v="5.8664680569332965"/>
    <n v="6.6809801414338779"/>
    <n v="837.36137469712617"/>
    <n v="0.95191875824020578"/>
  </r>
  <r>
    <s v="MR698"/>
    <s v="P. blochii"/>
    <d v="2023-05-17T00:00:00"/>
    <x v="1"/>
    <n v="302"/>
    <n v="278"/>
    <n v="568.1"/>
    <x v="0"/>
    <x v="0"/>
    <n v="47.8"/>
    <x v="2"/>
    <n v="9.1870074956755698E-2"/>
    <n v="5.7104270173748697"/>
    <n v="6.3422974595630812"/>
    <n v="533.96296706879502"/>
    <n v="1.0639314616116566"/>
  </r>
  <r>
    <s v="MR699"/>
    <s v="P. blochii"/>
    <d v="2023-05-01T00:00:00"/>
    <x v="1"/>
    <n v="410"/>
    <n v="390"/>
    <n v="1464.9"/>
    <x v="0"/>
    <x v="2"/>
    <n v="88.9"/>
    <x v="0"/>
    <n v="6.4607558139534893E-2"/>
    <n v="6.0161571596983539"/>
    <n v="7.2895422597357244"/>
    <n v="1289.3194149211408"/>
    <n v="1.1361808276885355"/>
  </r>
  <r>
    <s v="MR700"/>
    <s v="P. blochii"/>
    <d v="2023-05-01T00:00:00"/>
    <x v="1"/>
    <n v="357"/>
    <n v="323"/>
    <n v="1001.8"/>
    <x v="1"/>
    <x v="0"/>
    <n v="109.4"/>
    <x v="2"/>
    <n v="0.1225907664724339"/>
    <n v="5.8777357817796387"/>
    <n v="6.9095536609235166"/>
    <n v="865.01350688198272"/>
    <n v="1.1581322049075005"/>
  </r>
  <r>
    <s v="MR701"/>
    <s v="P. blochii"/>
    <d v="2023-03-24T00:00:00"/>
    <x v="2"/>
    <n v="266"/>
    <n v="238"/>
    <n v="374.9"/>
    <x v="1"/>
    <x v="4"/>
    <n v="10.9"/>
    <x v="2"/>
    <n v="2.9945054945054946E-2"/>
    <n v="5.5834963087816991"/>
    <n v="5.9266593237418661"/>
    <n v="370.30762113684449"/>
    <n v="1.0124015240330644"/>
  </r>
  <r>
    <s v="MR702"/>
    <s v="P. blochii"/>
    <d v="2022-09-29T00:00:00"/>
    <x v="0"/>
    <n v="252"/>
    <n v="234"/>
    <n v="320.3"/>
    <x v="0"/>
    <x v="4"/>
    <n v="4.0999999999999996"/>
    <x v="2"/>
    <n v="1.2966476913345983E-2"/>
    <n v="5.5294290875114234"/>
    <n v="5.7692580566151124"/>
    <n v="316.8525320645719"/>
    <n v="1.0108803546967571"/>
  </r>
  <r>
    <s v="MR716"/>
    <s v="P. blochii"/>
    <d v="2023-03-24T00:00:00"/>
    <x v="2"/>
    <n v="316"/>
    <n v="287"/>
    <n v="591.5"/>
    <x v="0"/>
    <x v="4"/>
    <n v="10.15"/>
    <x v="3"/>
    <n v="1.7459361830222758E-2"/>
    <n v="5.7557422135869123"/>
    <n v="6.3826616834184415"/>
    <n v="608.49486315404408"/>
    <n v="0.97207065468728249"/>
  </r>
  <r>
    <s v="MR717"/>
    <s v="P. blochii"/>
    <d v="2023-03-24T00:00:00"/>
    <x v="2"/>
    <n v="284"/>
    <n v="260"/>
    <n v="460"/>
    <x v="0"/>
    <x v="0"/>
    <n v="10.85"/>
    <x v="2"/>
    <n v="2.4156740509851941E-2"/>
    <n v="5.6489742381612063"/>
    <n v="6.131226489483141"/>
    <n v="447.25698643072832"/>
    <n v="1.0284914801912106"/>
  </r>
  <r>
    <s v="MR722"/>
    <s v="P. blochii"/>
    <d v="2023-06-01T00:00:00"/>
    <x v="1"/>
    <n v="230"/>
    <n v="204"/>
    <n v="223.4"/>
    <x v="0"/>
    <x v="4"/>
    <n v="3.05"/>
    <x v="1"/>
    <n v="1.3841615611527115E-2"/>
    <n v="5.4380793089231956"/>
    <n v="5.4089638866351004"/>
    <n v="243.4808314659586"/>
    <n v="0.91752602722335408"/>
  </r>
  <r>
    <s v="MR723"/>
    <s v="P. blochii"/>
    <d v="2024-07-20T00:00:00"/>
    <x v="0"/>
    <n v="271"/>
    <n v="247"/>
    <n v="377"/>
    <x v="0"/>
    <x v="0"/>
    <n v="11.4"/>
    <x v="2"/>
    <n v="3.1181619256017503E-2"/>
    <n v="5.602118820879701"/>
    <n v="5.9322451874480109"/>
    <n v="390.7352734223773"/>
    <n v="0.96484762355322418"/>
  </r>
  <r>
    <s v="MR724"/>
    <s v="P. blochii"/>
    <d v="2024-02-12T00:00:00"/>
    <x v="2"/>
    <n v="351"/>
    <n v="319"/>
    <n v="787"/>
    <x v="1"/>
    <x v="4"/>
    <n v="2.7"/>
    <x v="1"/>
    <n v="3.4425602448042844E-3"/>
    <n v="5.8607862234658654"/>
    <n v="6.6682282484174031"/>
    <n v="823.75463306373967"/>
    <n v="0.95538157651746314"/>
  </r>
  <r>
    <s v="MR725"/>
    <s v="P. blochii"/>
    <d v="2024-02-12T00:00:00"/>
    <x v="2"/>
    <n v="334"/>
    <n v="303"/>
    <n v="792"/>
    <x v="0"/>
    <x v="0"/>
    <n v="19"/>
    <x v="1"/>
    <n v="2.4579560155239329E-2"/>
    <n v="5.8111409929767008"/>
    <n v="6.674561391814426"/>
    <n v="713.88757443588895"/>
    <n v="1.1094183851369526"/>
  </r>
  <r>
    <s v="MR726"/>
    <s v="P. blochii"/>
    <d v="2024-02-12T00:00:00"/>
    <x v="2"/>
    <n v="315"/>
    <n v="290"/>
    <n v="595"/>
    <x v="1"/>
    <x v="1"/>
    <n v="2.87"/>
    <x v="2"/>
    <n v="4.8469086180399574E-3"/>
    <n v="5.7525726388256331"/>
    <n v="6.3885614055456301"/>
    <n v="602.95906473033313"/>
    <n v="0.98679999158169596"/>
  </r>
  <r>
    <s v="MR727"/>
    <s v="P. blochii"/>
    <d v="2024-06-13T00:00:00"/>
    <x v="1"/>
    <n v="220"/>
    <n v="210"/>
    <n v="204"/>
    <x v="0"/>
    <x v="1"/>
    <n v="3.4"/>
    <x v="0"/>
    <n v="1.6949152542372881E-2"/>
    <n v="5.393627546352362"/>
    <n v="5.3181199938442161"/>
    <n v="214.19051196879525"/>
    <n v="0.95242314015160545"/>
  </r>
  <r>
    <s v="MR728"/>
    <s v="P. blochii"/>
    <d v="2024-06-13T00:00:00"/>
    <x v="1"/>
    <n v="261"/>
    <n v="233"/>
    <n v="347"/>
    <x v="0"/>
    <x v="0"/>
    <n v="10.3"/>
    <x v="0"/>
    <n v="3.0591030591030594E-2"/>
    <n v="5.5645204073226937"/>
    <n v="5.8493247799468593"/>
    <n v="350.5905059657315"/>
    <n v="0.98975869025363039"/>
  </r>
  <r>
    <s v="MR729"/>
    <s v="P. blochii"/>
    <d v="2024-06-13T00:00:00"/>
    <x v="1"/>
    <n v="265"/>
    <n v="237"/>
    <n v="326"/>
    <x v="0"/>
    <x v="0"/>
    <n v="11.7"/>
    <x v="2"/>
    <n v="3.722558065542475E-2"/>
    <n v="5.579729825986222"/>
    <n v="5.7868973813667077"/>
    <n v="366.30773273526648"/>
    <n v="0.88996210253525498"/>
  </r>
  <r>
    <s v="MR730"/>
    <s v="P. blochii"/>
    <d v="2024-06-13T00:00:00"/>
    <x v="1"/>
    <n v="210"/>
    <n v="190"/>
    <n v="174"/>
    <x v="0"/>
    <x v="0"/>
    <n v="10.5"/>
    <x v="2"/>
    <n v="6.4220183486238536E-2"/>
    <n v="5.3471075307174685"/>
    <n v="5.1590552992145291"/>
    <n v="187.30342538632442"/>
    <n v="0.92897393435872666"/>
  </r>
  <r>
    <s v="MR731"/>
    <s v="P. blochii"/>
    <d v="2024-01-05T00:00:00"/>
    <x v="2"/>
    <n v="220"/>
    <n v="203"/>
    <n v="207"/>
    <x v="0"/>
    <x v="4"/>
    <n v="2.52"/>
    <x v="2"/>
    <n v="1.2323943661971832E-2"/>
    <n v="5.393627546352362"/>
    <n v="5.3327187932653688"/>
    <n v="214.19051196879525"/>
    <n v="0.96642936280089375"/>
  </r>
  <r>
    <s v="MR732"/>
    <s v="P. blochii"/>
    <d v="2024-01-05T00:00:00"/>
    <x v="2"/>
    <n v="228"/>
    <n v="213"/>
    <n v="212"/>
    <x v="0"/>
    <x v="4"/>
    <n v="25"/>
    <x v="0"/>
    <n v="0.13368983957219252"/>
    <n v="5.4293456289544411"/>
    <n v="5.3565862746720123"/>
    <n v="237.42588160835047"/>
    <n v="0.89291023608667852"/>
  </r>
  <r>
    <s v="MR733"/>
    <s v="P. blochii"/>
    <d v="2024-01-05T00:00:00"/>
    <x v="2"/>
    <n v="225"/>
    <n v="207"/>
    <n v="211"/>
    <x v="0"/>
    <x v="0"/>
    <n v="2.57"/>
    <x v="2"/>
    <n v="1.2330278750659692E-2"/>
    <n v="5.4161004022044201"/>
    <n v="5.3518581334760666"/>
    <n v="228.52924007361699"/>
    <n v="0.92329541695421458"/>
  </r>
  <r>
    <s v="MR734"/>
    <s v="P. blochii"/>
    <d v="2024-01-05T00:00:00"/>
    <x v="2"/>
    <n v="249"/>
    <n v="225"/>
    <n v="290"/>
    <x v="1"/>
    <x v="7"/>
    <n v="0.31"/>
    <x v="2"/>
    <n v="1.0701094273188581E-3"/>
    <n v="5.5174528964647074"/>
    <n v="5.6698809229805196"/>
    <n v="306.09768373608546"/>
    <n v="0.94740997860681386"/>
  </r>
  <r>
    <s v="MR735"/>
    <s v="P. blochii"/>
    <d v="2024-01-05T00:00:00"/>
    <x v="2"/>
    <n v="264"/>
    <n v="210"/>
    <n v="331"/>
    <x v="1"/>
    <x v="5"/>
    <n v="1.3"/>
    <x v="1"/>
    <n v="3.9429784652714591E-3"/>
    <n v="5.575949103146316"/>
    <n v="5.8021183753770629"/>
    <n v="362.33617149040566"/>
    <n v="0.91351630348824997"/>
  </r>
  <r>
    <s v="MR736"/>
    <s v="P. blochii"/>
    <d v="2024-07-20T00:00:00"/>
    <x v="0"/>
    <n v="243"/>
    <n v="217"/>
    <n v="250"/>
    <x v="1"/>
    <x v="2"/>
    <n v="11.2"/>
    <x v="0"/>
    <n v="4.690117252931323E-2"/>
    <n v="5.4930614433405482"/>
    <n v="5.521460917862246"/>
    <n v="285.309308193135"/>
    <n v="0.87624200410162223"/>
  </r>
  <r>
    <s v="MR737"/>
    <s v="P. blochii"/>
    <d v="2024-07-20T00:00:00"/>
    <x v="0"/>
    <n v="246"/>
    <n v="219"/>
    <n v="255"/>
    <x v="1"/>
    <x v="0"/>
    <n v="4.8"/>
    <x v="2"/>
    <n v="1.9184652278177457E-2"/>
    <n v="5.5053315359323625"/>
    <n v="5.5412635451584258"/>
    <n v="295.58413246008666"/>
    <n v="0.86269854162226778"/>
  </r>
  <r>
    <s v="MR738"/>
    <s v="P. blochii"/>
    <d v="2024-07-20T00:00:00"/>
    <x v="0"/>
    <n v="235"/>
    <n v="213"/>
    <n v="210"/>
    <x v="1"/>
    <x v="0"/>
    <n v="3.1"/>
    <x v="0"/>
    <n v="1.4983083615273078E-2"/>
    <n v="5.4595855141441589"/>
    <n v="5.3471075307174685"/>
    <n v="259.05730203203751"/>
    <n v="0.81063146397637298"/>
  </r>
  <r>
    <s v="MR739"/>
    <s v="P. blochii"/>
    <d v="2024-07-22T00:00:00"/>
    <x v="0"/>
    <n v="252"/>
    <n v="231"/>
    <n v="305"/>
    <x v="0"/>
    <x v="0"/>
    <n v="8"/>
    <x v="2"/>
    <n v="2.6936026936026935E-2"/>
    <n v="5.5294290875114234"/>
    <n v="5.7203117766074119"/>
    <n v="316.8525320645719"/>
    <n v="0.96259290721982793"/>
  </r>
  <r>
    <s v="MR740"/>
    <s v="P. blochii"/>
    <d v="2024-06-13T00:00:00"/>
    <x v="1"/>
    <n v="231"/>
    <n v="207"/>
    <n v="238"/>
    <x v="0"/>
    <x v="1"/>
    <n v="2.57"/>
    <x v="0"/>
    <n v="1.0916195896869556E-2"/>
    <n v="5.4424177105217932"/>
    <n v="5.472270673671475"/>
    <n v="246.54575127704169"/>
    <n v="0.96533807119864379"/>
  </r>
  <r>
    <s v="MR741"/>
    <s v="P. blochii"/>
    <d v="2024-06-13T00:00:00"/>
    <x v="1"/>
    <n v="188"/>
    <n v="174"/>
    <n v="138"/>
    <x v="0"/>
    <x v="1"/>
    <n v="2.4900000000000002"/>
    <x v="0"/>
    <n v="1.8375027673234449E-2"/>
    <n v="5.2364419628299492"/>
    <n v="4.9272536851572051"/>
    <n v="136.13355682011075"/>
    <n v="1.013710382829089"/>
  </r>
  <r>
    <s v="MR742"/>
    <s v="P. blochii"/>
    <d v="2024-06-13T00:00:00"/>
    <x v="1"/>
    <n v="203"/>
    <n v="182"/>
    <n v="152"/>
    <x v="0"/>
    <x v="0"/>
    <n v="2.65"/>
    <x v="0"/>
    <n v="1.7743555406762639E-2"/>
    <n v="5.3132059790417872"/>
    <n v="5.0238805208462765"/>
    <n v="169.8605919376291"/>
    <n v="0.89485146770130586"/>
  </r>
  <r>
    <s v="MR743"/>
    <s v="P. blochii"/>
    <d v="2024-07-20T00:00:00"/>
    <x v="0"/>
    <n v="180"/>
    <n v="167"/>
    <n v="129"/>
    <x v="0"/>
    <x v="2"/>
    <n v="8.1999999999999993"/>
    <x v="2"/>
    <n v="6.7880794701986755E-2"/>
    <n v="5.1929568508902104"/>
    <n v="4.8598124043616719"/>
    <n v="120.09118463208209"/>
    <n v="1.0741837579103866"/>
  </r>
  <r>
    <s v="MR744"/>
    <s v="P. blochii"/>
    <d v="2024-06-20T00:00:00"/>
    <x v="1"/>
    <n v="209"/>
    <m/>
    <n v="175"/>
    <x v="0"/>
    <x v="1"/>
    <n v="2.2999999999999998"/>
    <x v="0"/>
    <n v="1.3317892298784018E-2"/>
    <n v="5.3423342519648109"/>
    <n v="5.1647859739235145"/>
    <n v="184.74317365346289"/>
    <n v="0.94726098149781213"/>
  </r>
  <r>
    <s v="MR745"/>
    <s v="P. blochii"/>
    <d v="2024-06-20T00:00:00"/>
    <x v="1"/>
    <n v="201"/>
    <n v="180"/>
    <n v="151"/>
    <x v="0"/>
    <x v="1"/>
    <n v="5"/>
    <x v="0"/>
    <n v="3.4246575342465752E-2"/>
    <n v="5.3033049080590757"/>
    <n v="5.0172798368149243"/>
    <n v="165.07984615498941"/>
    <n v="0.91470887280952395"/>
  </r>
  <r>
    <s v="MR746"/>
    <s v="P. blochii"/>
    <d v="2024-11-08T00:00:00"/>
    <x v="3"/>
    <n v="303"/>
    <n v="279"/>
    <n v="542"/>
    <x v="0"/>
    <x v="1"/>
    <n v="18.2"/>
    <x v="2"/>
    <n v="3.4746086292478044E-2"/>
    <n v="5.7137328055093688"/>
    <n v="6.2952660014396464"/>
    <n v="539.0769940174946"/>
    <n v="1.0054222421192964"/>
  </r>
  <r>
    <s v="MR747"/>
    <s v="P. blochii"/>
    <d v="2023-11-08T00:00:00"/>
    <x v="3"/>
    <n v="269"/>
    <n v="243"/>
    <n v="352"/>
    <x v="1"/>
    <x v="4"/>
    <n v="1.51"/>
    <x v="0"/>
    <n v="4.3082541584638645E-3"/>
    <n v="5.5947113796018391"/>
    <n v="5.8636311755980968"/>
    <n v="382.47819318128876"/>
    <n v="0.92031390619218245"/>
  </r>
  <r>
    <s v="MR748"/>
    <s v="P. blochii"/>
    <d v="2024-01-05T00:00:00"/>
    <x v="2"/>
    <n v="225"/>
    <n v="206"/>
    <n v="208"/>
    <x v="1"/>
    <x v="4"/>
    <n v="0.36"/>
    <x v="1"/>
    <n v="1.7337699865151224E-3"/>
    <n v="5.4161004022044201"/>
    <n v="5.3375380797013179"/>
    <n v="228.52924007361699"/>
    <n v="0.91016799396434422"/>
  </r>
  <r>
    <s v="MR749"/>
    <s v="P. blochii"/>
    <d v="2024-01-05T00:00:00"/>
    <x v="2"/>
    <n v="254"/>
    <n v="234"/>
    <n v="307"/>
    <x v="0"/>
    <x v="7"/>
    <n v="3"/>
    <x v="2"/>
    <n v="9.8684210526315784E-3"/>
    <n v="5.5373342670185366"/>
    <n v="5.7268477475871968"/>
    <n v="324.15775239082603"/>
    <n v="0.94706974531912624"/>
  </r>
  <r>
    <s v="MR750"/>
    <s v="P. blochii"/>
    <d v="2024-01-05T00:00:00"/>
    <x v="2"/>
    <n v="222"/>
    <n v="205"/>
    <n v="235"/>
    <x v="0"/>
    <x v="4"/>
    <n v="3.3"/>
    <x v="2"/>
    <n v="1.4242555028053517E-2"/>
    <n v="5.4026773818722793"/>
    <n v="5.4595855141441589"/>
    <n v="219.85322992095396"/>
    <n v="1.0688949172340652"/>
  </r>
  <r>
    <s v="MR751"/>
    <s v="P. blochii"/>
    <d v="2024-01-05T00:00:00"/>
    <x v="2"/>
    <n v="240"/>
    <n v="224"/>
    <n v="238"/>
    <x v="0"/>
    <x v="4"/>
    <n v="3"/>
    <x v="2"/>
    <n v="1.276595744680851E-2"/>
    <n v="5.4806389233419912"/>
    <n v="5.472270673671475"/>
    <n v="275.27063723462055"/>
    <n v="0.8646036583885488"/>
  </r>
  <r>
    <s v="MR752"/>
    <s v="P. blochii"/>
    <d v="2024-04-21T00:00:00"/>
    <x v="1"/>
    <n v="289"/>
    <n v="264"/>
    <n v="511"/>
    <x v="1"/>
    <x v="2"/>
    <n v="34.200000000000003"/>
    <x v="0"/>
    <n v="7.1728187919463088E-2"/>
    <n v="5.6664266881124323"/>
    <n v="6.2363695902037044"/>
    <n v="470.33997960034901"/>
    <n v="1.0864481484950526"/>
  </r>
  <r>
    <s v="MR753"/>
    <s v="P. blochii"/>
    <d v="2024-04-21T00:00:00"/>
    <x v="1"/>
    <n v="287"/>
    <n v="271"/>
    <n v="516"/>
    <x v="1"/>
    <x v="2"/>
    <n v="20.100000000000001"/>
    <x v="1"/>
    <n v="4.0532365396249249E-2"/>
    <n v="5.6594822157596214"/>
    <n v="6.2461067654815627"/>
    <n v="461.0156912785514"/>
    <n v="1.1192677597783247"/>
  </r>
  <r>
    <s v="MR754"/>
    <s v="P. blochii"/>
    <d v="2024-07-20T00:00:00"/>
    <x v="0"/>
    <n v="226"/>
    <n v="206"/>
    <n v="273"/>
    <x v="1"/>
    <x v="2"/>
    <n v="12"/>
    <x v="2"/>
    <n v="4.5977011494252873E-2"/>
    <n v="5.4205349992722862"/>
    <n v="5.6094717951849598"/>
    <n v="231.47014433663401"/>
    <n v="1.1794177637136989"/>
  </r>
  <r>
    <s v="MR755"/>
    <s v="P. blochii"/>
    <d v="2023-09-27T00:00:00"/>
    <x v="0"/>
    <n v="284"/>
    <n v="259"/>
    <n v="363"/>
    <x v="0"/>
    <x v="4"/>
    <n v="3.24"/>
    <x v="0"/>
    <n v="9.0060040026684468E-3"/>
    <n v="5.6489742381612063"/>
    <n v="5.8944028342648505"/>
    <n v="447.25698643072832"/>
    <n v="0.81161392893349882"/>
  </r>
  <r>
    <s v="MR756"/>
    <s v="P. blochii"/>
    <d v="2023-09-27T00:00:00"/>
    <x v="0"/>
    <n v="293"/>
    <n v="263"/>
    <n v="396"/>
    <x v="0"/>
    <x v="1"/>
    <n v="7.51"/>
    <x v="2"/>
    <n v="1.9331256917809982E-2"/>
    <n v="5.6801726090170677"/>
    <n v="5.9814142112544806"/>
    <n v="489.35628682217327"/>
    <n v="0.80922634625086987"/>
  </r>
  <r>
    <s v="MR757"/>
    <s v="P. blochii"/>
    <d v="2024-07-20T00:00:00"/>
    <x v="0"/>
    <n v="250"/>
    <n v="229"/>
    <n v="295"/>
    <x v="1"/>
    <x v="2"/>
    <n v="8.6999999999999993"/>
    <x v="2"/>
    <n v="3.0387705204331119E-2"/>
    <n v="5.521460917862246"/>
    <n v="5.6869753563398202"/>
    <n v="309.65569558397874"/>
    <n v="0.95267099622908724"/>
  </r>
  <r>
    <s v="MR758"/>
    <s v="P. blochii"/>
    <d v="2024-07-20T00:00:00"/>
    <x v="0"/>
    <n v="255"/>
    <n v="230"/>
    <n v="319"/>
    <x v="1"/>
    <x v="0"/>
    <n v="25.9"/>
    <x v="2"/>
    <n v="8.8365745479358562E-2"/>
    <n v="5.5412635451584258"/>
    <n v="5.7651911027848444"/>
    <n v="327.85124388098313"/>
    <n v="0.97300225621777325"/>
  </r>
  <r>
    <s v="MR759"/>
    <s v="P. blochii"/>
    <d v="2024-07-07T00:00:00"/>
    <x v="0"/>
    <n v="244"/>
    <n v="220"/>
    <n v="269"/>
    <x v="1"/>
    <x v="2"/>
    <n v="13"/>
    <x v="2"/>
    <n v="5.078125E-2"/>
    <n v="5.4971682252932021"/>
    <n v="5.5947113796018391"/>
    <n v="288.70788318683475"/>
    <n v="0.93173763400814047"/>
  </r>
  <r>
    <s v="MR760"/>
    <s v="P. blochii"/>
    <d v="2024-04-01T00:00:00"/>
    <x v="1"/>
    <n v="230"/>
    <n v="205"/>
    <n v="227"/>
    <x v="1"/>
    <x v="0"/>
    <n v="12.33"/>
    <x v="2"/>
    <n v="5.7436996319932924E-2"/>
    <n v="5.4380793089231956"/>
    <n v="5.4249500174814029"/>
    <n v="243.4808314659586"/>
    <n v="0.93231158540600434"/>
  </r>
  <r>
    <s v="MR761"/>
    <s v="P. blochii"/>
    <d v="2024-04-01T00:00:00"/>
    <x v="1"/>
    <n v="233"/>
    <n v="210"/>
    <n v="191"/>
    <x v="0"/>
    <x v="4"/>
    <n v="2.2999999999999998"/>
    <x v="0"/>
    <n v="1.2188659247482777E-2"/>
    <n v="5.4510384535657002"/>
    <n v="5.2522734280466299"/>
    <n v="252.75096056221884"/>
    <n v="0.75568456624315061"/>
  </r>
  <r>
    <s v="MR762"/>
    <s v="P. blochii"/>
    <d v="2024-04-01T00:00:00"/>
    <x v="1"/>
    <n v="252"/>
    <n v="231"/>
    <n v="298"/>
    <x v="0"/>
    <x v="2"/>
    <n v="23.2"/>
    <x v="0"/>
    <n v="8.442503639010189E-2"/>
    <n v="5.5294290875114234"/>
    <n v="5.6970934865054046"/>
    <n v="316.8525320645719"/>
    <n v="0.94050061098855309"/>
  </r>
  <r>
    <s v="MR763"/>
    <s v="P. blochii"/>
    <d v="2024-04-21T00:00:00"/>
    <x v="1"/>
    <n v="311"/>
    <n v="284"/>
    <n v="570"/>
    <x v="1"/>
    <x v="1"/>
    <n v="10.55"/>
    <x v="1"/>
    <n v="1.8857806774510679E-2"/>
    <n v="5.7397929121792339"/>
    <n v="6.3456363608285962"/>
    <n v="581.1449463152145"/>
    <n v="0.98082243270653957"/>
  </r>
  <r>
    <s v="MR764"/>
    <s v="P. blochii"/>
    <d v="2024-04-01T00:00:00"/>
    <x v="1"/>
    <n v="186"/>
    <n v="170"/>
    <n v="110"/>
    <x v="0"/>
    <x v="2"/>
    <n v="3.24"/>
    <x v="2"/>
    <n v="3.034844511052829E-2"/>
    <n v="5.2257466737132017"/>
    <n v="4.7004803657924166"/>
    <n v="131.99943046092247"/>
    <n v="0.8333369289238316"/>
  </r>
  <r>
    <s v="MR765"/>
    <s v="P. blochii"/>
    <d v="2024-04-01T00:00:00"/>
    <x v="1"/>
    <n v="212"/>
    <n v="190"/>
    <n v="161"/>
    <x v="0"/>
    <x v="4"/>
    <n v="2.1"/>
    <x v="2"/>
    <n v="1.3215859030837005E-2"/>
    <n v="5.3565862746720123"/>
    <n v="5.0814043649844631"/>
    <n v="192.49322121711643"/>
    <n v="0.83639308949173496"/>
  </r>
  <r>
    <s v="MR766"/>
    <s v="P. blochii"/>
    <d v="2024-04-01T00:00:00"/>
    <x v="1"/>
    <n v="211"/>
    <n v="195"/>
    <n v="187"/>
    <x v="1"/>
    <x v="1"/>
    <n v="3.6"/>
    <x v="2"/>
    <n v="1.9629225736095966E-2"/>
    <n v="5.3518581334760666"/>
    <n v="5.2311086168545868"/>
    <n v="189.88674224061299"/>
    <n v="0.98479755770966315"/>
  </r>
  <r>
    <s v="MR767"/>
    <s v="P. blochii"/>
    <d v="2024-04-21T00:00:00"/>
    <x v="1"/>
    <n v="341"/>
    <n v="310"/>
    <n v="732"/>
    <x v="0"/>
    <x v="0"/>
    <n v="34.9"/>
    <x v="2"/>
    <n v="5.0064553148759142E-2"/>
    <n v="5.8318824772835169"/>
    <n v="6.5957805139613113"/>
    <n v="757.8849206921293"/>
    <n v="0.96584584283786756"/>
  </r>
  <r>
    <s v="MR768"/>
    <s v="P. blochii"/>
    <d v="2024-02-12T00:00:00"/>
    <x v="2"/>
    <n v="350"/>
    <n v="325"/>
    <n v="919"/>
    <x v="1"/>
    <x v="4"/>
    <n v="5.5"/>
    <x v="2"/>
    <n v="6.0207991242474E-3"/>
    <n v="5.857933154483459"/>
    <n v="6.8232861223556869"/>
    <n v="817.0057736926417"/>
    <n v="1.1248390520502352"/>
  </r>
  <r>
    <s v="MR769"/>
    <s v="P. blochii"/>
    <d v="2024-04-01T00:00:00"/>
    <x v="1"/>
    <n v="190"/>
    <n v="188"/>
    <n v="130"/>
    <x v="0"/>
    <x v="5"/>
    <n v="1.5"/>
    <x v="3"/>
    <n v="1.1673151750972763E-2"/>
    <n v="5.2470240721604862"/>
    <n v="4.8675344504555822"/>
    <n v="140.35135086611592"/>
    <n v="0.92624687398990346"/>
  </r>
  <r>
    <s v="MR770"/>
    <s v="P. blochii"/>
    <d v="2024-04-21T00:00:00"/>
    <x v="1"/>
    <n v="347"/>
    <n v="314"/>
    <n v="817"/>
    <x v="1"/>
    <x v="2"/>
    <n v="37"/>
    <x v="2"/>
    <n v="4.7435897435897434E-2"/>
    <n v="5.8493247799468593"/>
    <n v="6.7056390948600031"/>
    <n v="796.97614444416797"/>
    <n v="1.0251247866017335"/>
  </r>
  <r>
    <s v="MR771"/>
    <s v="P. blochii"/>
    <d v="2023-09-27T00:00:00"/>
    <x v="0"/>
    <n v="351"/>
    <n v="318"/>
    <n v="675"/>
    <x v="1"/>
    <x v="7"/>
    <n v="2.1"/>
    <x v="0"/>
    <n v="3.1208203299152924E-3"/>
    <n v="5.8607862234658654"/>
    <n v="6.5147126908725301"/>
    <n v="823.75463306373967"/>
    <n v="0.81941876003721426"/>
  </r>
  <r>
    <s v="MR772"/>
    <s v="P. blochii"/>
    <d v="2024-02-12T00:00:00"/>
    <x v="2"/>
    <n v="330"/>
    <n v="318"/>
    <n v="680"/>
    <x v="0"/>
    <x v="4"/>
    <n v="9.6999999999999993"/>
    <x v="0"/>
    <n v="1.4471132328807996E-2"/>
    <n v="5.7990926544605257"/>
    <n v="6.522092798170152"/>
    <n v="689.51280791816646"/>
    <n v="0.9862035805442276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">
  <r>
    <s v="MR013"/>
    <s v="P. blochii"/>
    <d v="2012-07-15T00:00:00"/>
    <n v="3"/>
    <n v="213"/>
    <n v="192"/>
    <n v="183.9"/>
    <x v="0"/>
    <x v="0"/>
    <n v="9.9"/>
    <n v="0"/>
    <n v="5.6896551724137934E-2"/>
    <n v="5.3612921657094255"/>
    <n v="5.2143921316102757"/>
  </r>
  <r>
    <s v="MR014"/>
    <s v="P. blochii"/>
    <d v="2012-07-15T00:00:00"/>
    <n v="3"/>
    <n v="212"/>
    <n v="196"/>
    <n v="186.8"/>
    <x v="0"/>
    <x v="0"/>
    <n v="9.1"/>
    <n v="2"/>
    <n v="5.1209904333145748E-2"/>
    <n v="5.3565862746720123"/>
    <n v="5.2300385257947424"/>
  </r>
  <r>
    <s v="MR015"/>
    <s v="P. blochii"/>
    <d v="2012-07-15T00:00:00"/>
    <n v="3"/>
    <n v="205"/>
    <n v="194"/>
    <n v="173"/>
    <x v="0"/>
    <x v="0"/>
    <n v="9.4"/>
    <n v="1"/>
    <n v="5.7457212713936431E-2"/>
    <n v="5.3230099791384085"/>
    <n v="5.1532915944977793"/>
  </r>
  <r>
    <s v="MR016"/>
    <s v="P. blochii"/>
    <d v="2012-07-15T00:00:00"/>
    <n v="3"/>
    <n v="247"/>
    <n v="227"/>
    <n v="320"/>
    <x v="0"/>
    <x v="1"/>
    <n v="21"/>
    <n v="0"/>
    <n v="7.0234113712374577E-2"/>
    <n v="5.5093883366279774"/>
    <n v="5.768320995793772"/>
  </r>
  <r>
    <s v="MR017"/>
    <s v="P. blochii"/>
    <d v="2012-07-15T00:00:00"/>
    <n v="3"/>
    <n v="256"/>
    <n v="240"/>
    <n v="387"/>
    <x v="0"/>
    <x v="0"/>
    <n v="35"/>
    <n v="1"/>
    <n v="9.9431818181818177E-2"/>
    <n v="5.5451774444795623"/>
    <n v="5.9584246930297819"/>
  </r>
  <r>
    <s v="MR022"/>
    <s v="P. blochii"/>
    <d v="2013-07-01T00:00:00"/>
    <n v="3"/>
    <n v="211"/>
    <n v="198"/>
    <n v="203.6"/>
    <x v="0"/>
    <x v="1"/>
    <n v="12"/>
    <n v="2"/>
    <n v="6.2630480167014613E-2"/>
    <n v="5.3518581334760666"/>
    <n v="5.3161572846763674"/>
  </r>
  <r>
    <s v="MR023"/>
    <s v="P. blochii"/>
    <d v="2012-06-01T00:00:00"/>
    <n v="2"/>
    <n v="250"/>
    <n v="221"/>
    <n v="327.39999999999998"/>
    <x v="0"/>
    <x v="0"/>
    <n v="28.5"/>
    <n v="0"/>
    <n v="9.534961525593845E-2"/>
    <n v="5.521460917862246"/>
    <n v="5.7911826649370344"/>
  </r>
  <r>
    <s v="MR024"/>
    <s v="P. blochii"/>
    <d v="2012-06-01T00:00:00"/>
    <n v="2"/>
    <n v="209"/>
    <n v="190"/>
    <n v="183.4"/>
    <x v="0"/>
    <x v="0"/>
    <n v="9.8000000000000007"/>
    <n v="0"/>
    <n v="5.6451612903225812E-2"/>
    <n v="5.3423342519648109"/>
    <n v="5.2116695598223641"/>
  </r>
  <r>
    <s v="MR025"/>
    <s v="P. blochii"/>
    <d v="2012-07-18T00:00:00"/>
    <n v="3"/>
    <n v="257"/>
    <n v="232"/>
    <n v="293"/>
    <x v="0"/>
    <x v="2"/>
    <n v="10.3"/>
    <n v="0"/>
    <n v="3.6434382737884685E-2"/>
    <n v="5.5490760848952201"/>
    <n v="5.6801726090170677"/>
  </r>
  <r>
    <s v="MR026"/>
    <s v="P. blochii"/>
    <d v="2012-07-18T00:00:00"/>
    <n v="3"/>
    <n v="215"/>
    <n v="198"/>
    <n v="187"/>
    <x v="0"/>
    <x v="0"/>
    <n v="4.2"/>
    <n v="0"/>
    <n v="2.2975929978118162E-2"/>
    <n v="5.3706380281276624"/>
    <n v="5.2311086168545868"/>
  </r>
  <r>
    <s v="MR027"/>
    <s v="P. blochii"/>
    <d v="2012-06-24T00:00:00"/>
    <n v="2"/>
    <n v="291"/>
    <n v="262"/>
    <n v="556.4"/>
    <x v="0"/>
    <x v="0"/>
    <n v="30.3"/>
    <n v="2"/>
    <n v="5.7593613381486407E-2"/>
    <n v="5.6733232671714928"/>
    <n v="6.3214874600492879"/>
  </r>
  <r>
    <s v="MR028"/>
    <s v="P. blochii"/>
    <d v="2012-06-24T00:00:00"/>
    <n v="2"/>
    <n v="246"/>
    <n v="223"/>
    <n v="309.10000000000002"/>
    <x v="0"/>
    <x v="2"/>
    <n v="24.6"/>
    <n v="0"/>
    <n v="8.6467486818980671E-2"/>
    <n v="5.5053315359323625"/>
    <n v="5.7336648491380711"/>
  </r>
  <r>
    <s v="MR029"/>
    <s v="P. blochii"/>
    <d v="2012-06-24T00:00:00"/>
    <n v="2"/>
    <n v="232"/>
    <n v="210"/>
    <n v="257"/>
    <x v="0"/>
    <x v="3"/>
    <n v="23.1"/>
    <n v="1"/>
    <n v="9.8760153911928175E-2"/>
    <n v="5.4467373716663099"/>
    <n v="5.5490760848952201"/>
  </r>
  <r>
    <s v="MR030"/>
    <s v="P. blochii"/>
    <d v="2012-07-29T00:00:00"/>
    <n v="3"/>
    <n v="220"/>
    <n v="195"/>
    <n v="217"/>
    <x v="0"/>
    <x v="3"/>
    <n v="14.5"/>
    <n v="0"/>
    <n v="7.160493827160494E-2"/>
    <n v="5.393627546352362"/>
    <n v="5.3798973535404597"/>
  </r>
  <r>
    <s v="MR031"/>
    <s v="P. blochii"/>
    <d v="2012-07-29T00:00:00"/>
    <n v="3"/>
    <n v="221"/>
    <n v="198"/>
    <n v="219"/>
    <x v="0"/>
    <x v="2"/>
    <n v="15.4"/>
    <n v="0"/>
    <n v="7.5638506876227904E-2"/>
    <n v="5.3981627015177525"/>
    <n v="5.389071729816501"/>
  </r>
  <r>
    <s v="MR032"/>
    <s v="P. blochii"/>
    <d v="2012-07-29T00:00:00"/>
    <n v="3"/>
    <n v="215"/>
    <n v="195"/>
    <n v="218"/>
    <x v="0"/>
    <x v="3"/>
    <n v="18.100000000000001"/>
    <n v="0"/>
    <n v="9.0545272636318161E-2"/>
    <n v="5.3706380281276624"/>
    <n v="5.3844950627890888"/>
  </r>
  <r>
    <s v="MR033"/>
    <s v="P. blochii"/>
    <d v="2012-07-29T00:00:00"/>
    <n v="3"/>
    <n v="240"/>
    <n v="220"/>
    <n v="286"/>
    <x v="1"/>
    <x v="3"/>
    <n v="21.2"/>
    <n v="0"/>
    <n v="8.0060422960725075E-2"/>
    <n v="5.4806389233419912"/>
    <n v="5.6559918108198524"/>
  </r>
  <r>
    <s v="MR034"/>
    <s v="P. blochii"/>
    <d v="2012-07-18T00:00:00"/>
    <n v="3"/>
    <n v="249"/>
    <n v="226"/>
    <n v="284"/>
    <x v="1"/>
    <x v="4"/>
    <n v="0.6"/>
    <n v="0"/>
    <n v="2.1171489061397319E-3"/>
    <n v="5.5174528964647074"/>
    <n v="5.6489742381612063"/>
  </r>
  <r>
    <s v="MR035"/>
    <s v="P. blochii"/>
    <d v="2012-07-18T00:00:00"/>
    <n v="3"/>
    <n v="258"/>
    <n v="237"/>
    <n v="348"/>
    <x v="0"/>
    <x v="0"/>
    <n v="19.3"/>
    <n v="0"/>
    <n v="5.8716154548220267E-2"/>
    <n v="5.5529595849216173"/>
    <n v="5.8522024797744745"/>
  </r>
  <r>
    <s v="MR036"/>
    <s v="P. blochii"/>
    <d v="2012-07-18T00:00:00"/>
    <n v="3"/>
    <n v="273"/>
    <n v="249"/>
    <n v="408"/>
    <x v="0"/>
    <x v="1"/>
    <n v="15"/>
    <n v="1"/>
    <n v="3.8167938931297711E-2"/>
    <n v="5.6094717951849598"/>
    <n v="6.0112671744041615"/>
  </r>
  <r>
    <s v="MR037"/>
    <s v="P. blochii"/>
    <d v="2016-03-19T00:00:00"/>
    <n v="1"/>
    <n v="244"/>
    <n v="220"/>
    <n v="320"/>
    <x v="0"/>
    <x v="2"/>
    <n v="17.2"/>
    <n v="1"/>
    <n v="5.6803170409511224E-2"/>
    <n v="5.4971682252932021"/>
    <n v="5.768320995793772"/>
  </r>
  <r>
    <s v="MR038"/>
    <s v="P. blochii"/>
    <d v="2012-07-15T00:00:00"/>
    <n v="3"/>
    <n v="205"/>
    <n v="185"/>
    <n v="182"/>
    <x v="0"/>
    <x v="4"/>
    <n v="5.4"/>
    <n v="1"/>
    <n v="3.0577576443941112E-2"/>
    <n v="5.3230099791384085"/>
    <n v="5.2040066870767951"/>
  </r>
  <r>
    <s v="MR039"/>
    <s v="P. blochii"/>
    <d v="2012-04-18T00:00:00"/>
    <n v="2"/>
    <n v="215"/>
    <n v="200"/>
    <n v="198"/>
    <x v="0"/>
    <x v="0"/>
    <n v="11.3"/>
    <n v="0"/>
    <n v="6.0524906266738093E-2"/>
    <n v="5.3706380281276624"/>
    <n v="5.2882670306945352"/>
  </r>
  <r>
    <s v="MR040"/>
    <s v="P. blochii"/>
    <d v="2012-04-18T00:00:00"/>
    <n v="2"/>
    <n v="210"/>
    <n v="190"/>
    <n v="202"/>
    <x v="0"/>
    <x v="2"/>
    <n v="19.399999999999999"/>
    <n v="0"/>
    <n v="0.10624315443592551"/>
    <n v="5.3471075307174685"/>
    <n v="5.3082676974012051"/>
  </r>
  <r>
    <s v="MR045"/>
    <s v="P. blochii"/>
    <d v="2012-07-29T00:00:00"/>
    <n v="3"/>
    <n v="226"/>
    <n v="204"/>
    <n v="223"/>
    <x v="1"/>
    <x v="1"/>
    <n v="1.1000000000000001"/>
    <n v="0"/>
    <n v="4.9571879224876072E-3"/>
    <n v="5.4205349992722862"/>
    <n v="5.4071717714601188"/>
  </r>
  <r>
    <s v="MR046"/>
    <s v="P. blochii"/>
    <d v="2012-07-29T00:00:00"/>
    <n v="3"/>
    <n v="233"/>
    <n v="211"/>
    <n v="226"/>
    <x v="2"/>
    <x v="4"/>
    <n v="2"/>
    <n v="0"/>
    <n v="8.9285714285714281E-3"/>
    <n v="5.4510384535657002"/>
    <n v="5.4205349992722862"/>
  </r>
  <r>
    <s v="MR049"/>
    <s v="P. blochii"/>
    <d v="2012-07-15T00:00:00"/>
    <n v="3"/>
    <n v="210"/>
    <n v="189"/>
    <n v="186"/>
    <x v="0"/>
    <x v="0"/>
    <n v="9.6999999999999993"/>
    <n v="0"/>
    <n v="5.5019852524106627E-2"/>
    <n v="5.3471075307174685"/>
    <n v="5.2257466737132017"/>
  </r>
  <r>
    <s v="MR052"/>
    <s v="P. blochii"/>
    <d v="2012-08-12T00:00:00"/>
    <n v="3"/>
    <n v="195"/>
    <n v="176"/>
    <n v="123.6"/>
    <x v="0"/>
    <x v="4"/>
    <n v="1.4"/>
    <n v="0"/>
    <n v="1.1456628477905075E-2"/>
    <n v="5.2729995585637468"/>
    <n v="4.8170505450235908"/>
  </r>
  <r>
    <s v="MR055"/>
    <s v="P. blochii"/>
    <d v="2013-07-01T00:00:00"/>
    <n v="3"/>
    <n v="248"/>
    <n v="227"/>
    <n v="306"/>
    <x v="0"/>
    <x v="2"/>
    <n v="19.5"/>
    <n v="0"/>
    <n v="6.8062827225130892E-2"/>
    <n v="5.5134287461649825"/>
    <n v="5.7235851019523807"/>
  </r>
  <r>
    <s v="MR056"/>
    <s v="P. blochii"/>
    <d v="2012-09-15T00:00:00"/>
    <n v="3"/>
    <n v="245"/>
    <n v="223"/>
    <n v="245"/>
    <x v="1"/>
    <x v="5"/>
    <n v="0.4"/>
    <n v="0"/>
    <n v="1.6353229762878169E-3"/>
    <n v="5.5012582105447274"/>
    <n v="5.5012582105447274"/>
  </r>
  <r>
    <s v="MR057"/>
    <s v="P. blochii"/>
    <d v="2012-08-26T00:00:00"/>
    <n v="3"/>
    <n v="245"/>
    <n v="223"/>
    <n v="273"/>
    <x v="0"/>
    <x v="2"/>
    <n v="12.5"/>
    <n v="0"/>
    <n v="4.7984644913627639E-2"/>
    <n v="5.5012582105447274"/>
    <n v="5.6094717951849598"/>
  </r>
  <r>
    <s v="MR058"/>
    <s v="P. blochii"/>
    <d v="2012-09-15T00:00:00"/>
    <n v="3"/>
    <n v="232"/>
    <n v="210"/>
    <n v="230"/>
    <x v="0"/>
    <x v="0"/>
    <n v="8.1999999999999993"/>
    <n v="0"/>
    <n v="3.6970243462578892E-2"/>
    <n v="5.4467373716663099"/>
    <n v="5.4380793089231956"/>
  </r>
  <r>
    <s v="MR059"/>
    <s v="P. blochii"/>
    <d v="2013-07-01T00:00:00"/>
    <n v="3"/>
    <n v="205"/>
    <n v="186"/>
    <n v="175.7"/>
    <x v="0"/>
    <x v="2"/>
    <n v="6.5"/>
    <n v="0"/>
    <n v="3.8416075650118203E-2"/>
    <n v="5.3230099791384085"/>
    <n v="5.168777995193051"/>
  </r>
  <r>
    <s v="MR060"/>
    <s v="P. blochii"/>
    <d v="2013-07-01T00:00:00"/>
    <n v="3"/>
    <n v="211"/>
    <n v="195"/>
    <n v="208.9"/>
    <x v="0"/>
    <x v="3"/>
    <n v="13.3"/>
    <n v="0"/>
    <n v="6.7995910020449898E-2"/>
    <n v="5.3518581334760666"/>
    <n v="5.3418556685625198"/>
  </r>
  <r>
    <s v="MR061"/>
    <s v="P. blochii"/>
    <d v="2012-07-28T00:00:00"/>
    <n v="3"/>
    <n v="238"/>
    <n v="215"/>
    <n v="245.2"/>
    <x v="0"/>
    <x v="0"/>
    <n v="8.8000000000000007"/>
    <n v="1"/>
    <n v="3.7225042301184438E-2"/>
    <n v="5.472270673671475"/>
    <n v="5.5020742040620565"/>
  </r>
  <r>
    <s v="MR063"/>
    <s v="P. blochii"/>
    <d v="2012-08-12T00:00:00"/>
    <n v="3"/>
    <n v="219"/>
    <n v="197"/>
    <n v="200"/>
    <x v="1"/>
    <x v="0"/>
    <n v="6.3"/>
    <n v="0"/>
    <n v="3.2524522457408361E-2"/>
    <n v="5.389071729816501"/>
    <n v="5.2983173665480363"/>
  </r>
  <r>
    <s v="MR064"/>
    <s v="P. blochii"/>
    <d v="2012-09-12T00:00:00"/>
    <n v="3"/>
    <n v="231"/>
    <n v="207"/>
    <n v="245"/>
    <x v="0"/>
    <x v="2"/>
    <n v="13.4"/>
    <n v="0"/>
    <n v="5.7858376511226252E-2"/>
    <n v="5.4424177105217932"/>
    <n v="5.5012582105447274"/>
  </r>
  <r>
    <s v="MR065"/>
    <s v="P. blochii"/>
    <d v="2012-08-13T00:00:00"/>
    <n v="3"/>
    <n v="220"/>
    <n v="201"/>
    <n v="211"/>
    <x v="0"/>
    <x v="5"/>
    <n v="3.2"/>
    <n v="0"/>
    <n v="1.5399422521655439E-2"/>
    <n v="5.393627546352362"/>
    <n v="5.3518581334760666"/>
  </r>
  <r>
    <s v="MR067"/>
    <s v="P. blochii"/>
    <d v="2013-09-15T00:00:00"/>
    <n v="3"/>
    <n v="207"/>
    <n v="180"/>
    <n v="178"/>
    <x v="0"/>
    <x v="0"/>
    <n v="7.7"/>
    <n v="1"/>
    <n v="4.5214327657075747E-2"/>
    <n v="5.3327187932653688"/>
    <n v="5.181783550292085"/>
  </r>
  <r>
    <s v="MR068"/>
    <s v="P. blochii"/>
    <d v="2013-09-15T00:00:00"/>
    <n v="3"/>
    <n v="224"/>
    <n v="201"/>
    <n v="216.2"/>
    <x v="0"/>
    <x v="2"/>
    <n v="10.1"/>
    <n v="0"/>
    <n v="4.9005337214944204E-2"/>
    <n v="5.4116460518550396"/>
    <n v="5.3762039052051076"/>
  </r>
  <r>
    <s v="MR069"/>
    <s v="P. blochii"/>
    <d v="2012-08-26T00:00:00"/>
    <n v="3"/>
    <n v="226"/>
    <n v="206"/>
    <n v="221"/>
    <x v="0"/>
    <x v="2"/>
    <n v="11.2"/>
    <n v="0"/>
    <n v="5.3384175405147755E-2"/>
    <n v="5.4205349992722862"/>
    <n v="5.3981627015177525"/>
  </r>
  <r>
    <s v="MR070"/>
    <s v="P. blochii"/>
    <d v="2013-09-15T00:00:00"/>
    <n v="3"/>
    <n v="218"/>
    <n v="198"/>
    <n v="217"/>
    <x v="0"/>
    <x v="3"/>
    <n v="12.9"/>
    <n v="0"/>
    <n v="6.320431161195493E-2"/>
    <n v="5.3844950627890888"/>
    <n v="5.3798973535404597"/>
  </r>
  <r>
    <s v="MR071"/>
    <s v="P. blochii"/>
    <d v="2012-08-26T00:00:00"/>
    <n v="3"/>
    <n v="220"/>
    <n v="195"/>
    <n v="187"/>
    <x v="0"/>
    <x v="4"/>
    <n v="5.5"/>
    <n v="0"/>
    <n v="3.0303030303030304E-2"/>
    <n v="5.393627546352362"/>
    <n v="5.2311086168545868"/>
  </r>
  <r>
    <s v="MR072"/>
    <s v="P. blochii"/>
    <d v="2013-07-24T00:00:00"/>
    <n v="3"/>
    <n v="232"/>
    <n v="208"/>
    <n v="209.6"/>
    <x v="0"/>
    <x v="2"/>
    <n v="11.3"/>
    <n v="0"/>
    <n v="5.6984367120524466E-2"/>
    <n v="5.4467373716663099"/>
    <n v="5.3452009524468869"/>
  </r>
  <r>
    <s v="MR157"/>
    <s v="P. blochii"/>
    <d v="2013-07-24T00:00:00"/>
    <n v="3"/>
    <n v="234"/>
    <n v="218"/>
    <n v="227.1"/>
    <x v="0"/>
    <x v="0"/>
    <n v="9.3000000000000007"/>
    <n v="1"/>
    <n v="4.2699724517906344E-2"/>
    <n v="5.4553211153577017"/>
    <n v="5.4253904491115126"/>
  </r>
  <r>
    <s v="MR158"/>
    <s v="P. blochii"/>
    <d v="2013-07-24T00:00:00"/>
    <n v="3"/>
    <n v="241"/>
    <n v="224"/>
    <n v="287.2"/>
    <x v="1"/>
    <x v="0"/>
    <n v="20.7"/>
    <n v="2"/>
    <n v="7.7673545966228885E-2"/>
    <n v="5.4847969334906548"/>
    <n v="5.6601788371740689"/>
  </r>
  <r>
    <s v="MR160"/>
    <s v="P. blochii"/>
    <d v="2013-07-24T00:00:00"/>
    <n v="3"/>
    <n v="171"/>
    <n v="156"/>
    <n v="103.2"/>
    <x v="1"/>
    <x v="5"/>
    <n v="0.1"/>
    <n v="1"/>
    <n v="9.6993210475266732E-4"/>
    <n v="5.1416635565026603"/>
    <n v="4.6366688530474622"/>
  </r>
  <r>
    <s v="MR162"/>
    <s v="P. blochii"/>
    <d v="2012-07-29T00:00:00"/>
    <n v="3"/>
    <n v="229"/>
    <n v="209"/>
    <n v="257.89999999999998"/>
    <x v="0"/>
    <x v="2"/>
    <n v="10"/>
    <n v="0"/>
    <n v="4.033884630899557E-2"/>
    <n v="5.43372200355424"/>
    <n v="5.5525719128872986"/>
  </r>
  <r>
    <s v="MR163"/>
    <s v="P. blochii"/>
    <d v="2013-07-24T00:00:00"/>
    <n v="3"/>
    <n v="273"/>
    <n v="246"/>
    <n v="429.5"/>
    <x v="0"/>
    <x v="2"/>
    <n v="37.700000000000003"/>
    <n v="0"/>
    <n v="9.6222562531904032E-2"/>
    <n v="5.6094717951849598"/>
    <n v="6.0626217414243104"/>
  </r>
  <r>
    <s v="MR164"/>
    <s v="P. blochii"/>
    <d v="2013-07-16T00:00:00"/>
    <n v="3"/>
    <n v="237"/>
    <n v="211"/>
    <n v="247.1"/>
    <x v="0"/>
    <x v="1"/>
    <n v="5.5"/>
    <n v="1"/>
    <n v="2.2764900662251657E-2"/>
    <n v="5.4680601411351315"/>
    <n v="5.5097931129945641"/>
  </r>
  <r>
    <s v="MR165"/>
    <s v="P. blochii"/>
    <d v="2013-07-16T00:00:00"/>
    <n v="3"/>
    <n v="225"/>
    <n v="200"/>
    <n v="227"/>
    <x v="1"/>
    <x v="0"/>
    <n v="4.9000000000000004"/>
    <n v="1"/>
    <n v="2.206213417379559E-2"/>
    <n v="5.4161004022044201"/>
    <n v="5.4249500174814029"/>
  </r>
  <r>
    <s v="MR166"/>
    <s v="P. blochii"/>
    <d v="2013-07-16T00:00:00"/>
    <n v="3"/>
    <n v="210"/>
    <n v="189"/>
    <n v="200.6"/>
    <x v="1"/>
    <x v="1"/>
    <n v="2.2000000000000002"/>
    <n v="1"/>
    <n v="1.1088709677419355E-2"/>
    <n v="5.3471075307174685"/>
    <n v="5.3013128755278354"/>
  </r>
  <r>
    <s v="MR167"/>
    <s v="P. blochii"/>
    <d v="2013-07-16T00:00:00"/>
    <n v="3"/>
    <n v="264"/>
    <n v="238"/>
    <n v="363.8"/>
    <x v="1"/>
    <x v="3"/>
    <n v="38.700000000000003"/>
    <n v="1"/>
    <n v="0.11904029529375577"/>
    <n v="5.575949103146316"/>
    <n v="5.8966042660840223"/>
  </r>
  <r>
    <s v="MR168"/>
    <s v="P. blochii"/>
    <d v="2013-07-16T00:00:00"/>
    <n v="3"/>
    <n v="260"/>
    <n v="245"/>
    <n v="407.8"/>
    <x v="0"/>
    <x v="2"/>
    <n v="34"/>
    <n v="1"/>
    <n v="9.0957731407169604E-2"/>
    <n v="5.5606816310155276"/>
    <n v="6.0107768581403551"/>
  </r>
  <r>
    <s v="MR169"/>
    <s v="P. blochii"/>
    <d v="2013-07-16T00:00:00"/>
    <n v="3"/>
    <n v="240"/>
    <n v="225"/>
    <n v="267"/>
    <x v="0"/>
    <x v="2"/>
    <n v="12"/>
    <n v="0"/>
    <n v="4.7058823529411764E-2"/>
    <n v="5.4806389233419912"/>
    <n v="5.5872486584002496"/>
  </r>
  <r>
    <s v="MR170"/>
    <s v="P. blochii"/>
    <d v="2013-07-16T00:00:00"/>
    <n v="3"/>
    <n v="236"/>
    <n v="211"/>
    <n v="250.4"/>
    <x v="0"/>
    <x v="2"/>
    <n v="13.3"/>
    <n v="1"/>
    <n v="5.6094474905103338E-2"/>
    <n v="5.4638318050256105"/>
    <n v="5.5230596392259432"/>
  </r>
  <r>
    <s v="MR171"/>
    <s v="P. blochii"/>
    <d v="2013-07-16T00:00:00"/>
    <n v="3"/>
    <n v="202"/>
    <n v="186"/>
    <n v="190.1"/>
    <x v="1"/>
    <x v="0"/>
    <n v="7.6"/>
    <n v="1"/>
    <n v="4.1643835616438356E-2"/>
    <n v="5.3082676974012051"/>
    <n v="5.2475502494943838"/>
  </r>
  <r>
    <s v="MR172"/>
    <s v="P. blochii"/>
    <d v="2013-07-01T00:00:00"/>
    <n v="3"/>
    <n v="209"/>
    <n v="195"/>
    <n v="188.4"/>
    <x v="0"/>
    <x v="0"/>
    <n v="2.6"/>
    <n v="2"/>
    <n v="1.3993541442411194E-2"/>
    <n v="5.3423342519648109"/>
    <n v="5.2385673621422626"/>
  </r>
  <r>
    <s v="MR173"/>
    <s v="P. blochii"/>
    <d v="2013-07-01T00:00:00"/>
    <n v="3"/>
    <n v="232"/>
    <n v="210"/>
    <n v="225.4"/>
    <x v="0"/>
    <x v="0"/>
    <n v="8.3000000000000007"/>
    <n v="2"/>
    <n v="3.8231229847996318E-2"/>
    <n v="5.4467373716663099"/>
    <n v="5.4178766016056761"/>
  </r>
  <r>
    <s v="MR174"/>
    <s v="P. blochii"/>
    <d v="2013-07-01T00:00:00"/>
    <n v="3"/>
    <n v="189"/>
    <n v="166"/>
    <n v="150.19999999999999"/>
    <x v="0"/>
    <x v="1"/>
    <n v="3.2"/>
    <n v="1"/>
    <n v="2.1768707482993199E-2"/>
    <n v="5.2417470150596426"/>
    <n v="5.0119677393300339"/>
  </r>
  <r>
    <s v="MR175"/>
    <s v="P. blochii"/>
    <d v="2013-05-29T00:00:00"/>
    <n v="2"/>
    <n v="248"/>
    <n v="238"/>
    <n v="401.5"/>
    <x v="0"/>
    <x v="2"/>
    <n v="23.4"/>
    <n v="1"/>
    <n v="6.1888389314996024E-2"/>
    <n v="5.5134287461649825"/>
    <n v="5.9952075333868162"/>
  </r>
  <r>
    <s v="MR176"/>
    <s v="P. blochii"/>
    <d v="2013-05-29T00:00:00"/>
    <n v="2"/>
    <n v="225"/>
    <n v="205"/>
    <n v="255"/>
    <x v="0"/>
    <x v="0"/>
    <n v="10.9"/>
    <n v="1"/>
    <n v="4.4653830397378129E-2"/>
    <n v="5.4161004022044201"/>
    <n v="5.5412635451584258"/>
  </r>
  <r>
    <s v="MR177"/>
    <s v="P. blochii"/>
    <d v="2013-05-29T00:00:00"/>
    <n v="2"/>
    <n v="285"/>
    <n v="250"/>
    <n v="502.4"/>
    <x v="0"/>
    <x v="2"/>
    <n v="31.1"/>
    <n v="2"/>
    <n v="6.5987693613409726E-2"/>
    <n v="5.6524891802686508"/>
    <n v="6.2193966151539888"/>
  </r>
  <r>
    <s v="MR178"/>
    <s v="P. blochii"/>
    <d v="2013-05-19T00:00:00"/>
    <n v="2"/>
    <n v="216"/>
    <n v="195"/>
    <n v="190.9"/>
    <x v="1"/>
    <x v="2"/>
    <n v="13.8"/>
    <n v="0"/>
    <n v="7.7922077922077934E-2"/>
    <n v="5.3752784076841653"/>
    <n v="5.251749730731702"/>
  </r>
  <r>
    <s v="MR179"/>
    <s v="P. blochii"/>
    <d v="2013-05-29T00:00:00"/>
    <n v="2"/>
    <n v="220"/>
    <n v="200"/>
    <n v="234"/>
    <x v="0"/>
    <x v="2"/>
    <n v="12.6"/>
    <n v="1"/>
    <n v="5.6910569105691054E-2"/>
    <n v="5.393627546352362"/>
    <n v="5.4553211153577017"/>
  </r>
  <r>
    <s v="MR180"/>
    <s v="P. blochii"/>
    <d v="2013-05-29T00:00:00"/>
    <n v="2"/>
    <n v="231"/>
    <n v="215"/>
    <n v="248.9"/>
    <x v="1"/>
    <x v="2"/>
    <n v="23.4"/>
    <n v="1"/>
    <n v="0.10376940133037693"/>
    <n v="5.4424177105217932"/>
    <n v="5.5170512093735464"/>
  </r>
  <r>
    <s v="MR181"/>
    <s v="P. blochii"/>
    <d v="2013-09-13T00:00:00"/>
    <n v="3"/>
    <n v="252"/>
    <n v="235"/>
    <n v="339"/>
    <x v="1"/>
    <x v="0"/>
    <n v="12.2"/>
    <n v="1"/>
    <n v="3.7331701346389225E-2"/>
    <n v="5.5294290875114234"/>
    <n v="5.8260001073804499"/>
  </r>
  <r>
    <s v="MR182"/>
    <s v="P. blochii"/>
    <d v="2013-09-13T00:00:00"/>
    <n v="3"/>
    <n v="225"/>
    <n v="215"/>
    <n v="239"/>
    <x v="0"/>
    <x v="0"/>
    <n v="18.2"/>
    <n v="1"/>
    <n v="8.2427536231884049E-2"/>
    <n v="5.4161004022044201"/>
    <n v="5.476463551931511"/>
  </r>
  <r>
    <s v="MR183"/>
    <s v="P. blochii"/>
    <d v="2013-08-26T00:00:00"/>
    <n v="3"/>
    <n v="219"/>
    <n v="200"/>
    <n v="196"/>
    <x v="0"/>
    <x v="2"/>
    <n v="7.5"/>
    <n v="0"/>
    <n v="3.9787798408488062E-2"/>
    <n v="5.389071729816501"/>
    <n v="5.2781146592305168"/>
  </r>
  <r>
    <s v="MR184"/>
    <s v="P. blochii"/>
    <d v="2013-08-26T00:00:00"/>
    <n v="3"/>
    <n v="282"/>
    <n v="258"/>
    <n v="394"/>
    <x v="0"/>
    <x v="3"/>
    <n v="18.399999999999999"/>
    <n v="1"/>
    <n v="4.8988285410010643E-2"/>
    <n v="5.6419070709381138"/>
    <n v="5.9763509092979339"/>
  </r>
  <r>
    <s v="MR185"/>
    <s v="P. blochii"/>
    <d v="2013-08-26T00:00:00"/>
    <n v="3"/>
    <n v="235"/>
    <n v="210"/>
    <n v="287"/>
    <x v="0"/>
    <x v="3"/>
    <n v="11.1"/>
    <n v="0"/>
    <n v="4.0231968104385646E-2"/>
    <n v="5.4595855141441589"/>
    <n v="5.6594822157596214"/>
  </r>
  <r>
    <s v="MR186"/>
    <s v="P. blochii"/>
    <d v="2013-08-26T00:00:00"/>
    <n v="3"/>
    <n v="245"/>
    <n v="223"/>
    <n v="270.89999999999998"/>
    <x v="0"/>
    <x v="2"/>
    <n v="17.5"/>
    <n v="0"/>
    <n v="6.9060773480662987E-2"/>
    <n v="5.5012582105447274"/>
    <n v="5.6017497490910495"/>
  </r>
  <r>
    <s v="MR187"/>
    <s v="P. blochii"/>
    <d v="2013-09-13T00:00:00"/>
    <n v="3"/>
    <n v="256"/>
    <n v="235"/>
    <n v="319"/>
    <x v="1"/>
    <x v="0"/>
    <n v="9.3000000000000007"/>
    <n v="0"/>
    <n v="3.0029060381013887E-2"/>
    <n v="5.5451774444795623"/>
    <n v="5.7651911027848444"/>
  </r>
  <r>
    <s v="MR188"/>
    <s v="P. blochii"/>
    <d v="2013-09-13T00:00:00"/>
    <n v="3"/>
    <n v="251"/>
    <n v="232"/>
    <n v="312"/>
    <x v="0"/>
    <x v="0"/>
    <n v="12.1"/>
    <n v="0"/>
    <n v="4.0346782260753583E-2"/>
    <n v="5.5254529391317835"/>
    <n v="5.7430031878094825"/>
  </r>
  <r>
    <s v="MR189"/>
    <s v="P. blochii"/>
    <d v="2013-08-26T00:00:00"/>
    <n v="3"/>
    <n v="256"/>
    <n v="229"/>
    <n v="333.8"/>
    <x v="0"/>
    <x v="2"/>
    <n v="11.8"/>
    <n v="0"/>
    <n v="3.6645962732919257E-2"/>
    <n v="5.5451774444795623"/>
    <n v="5.8105420112277351"/>
  </r>
  <r>
    <s v="MR190"/>
    <s v="P. blochii"/>
    <d v="2013-08-26T00:00:00"/>
    <n v="3"/>
    <n v="271"/>
    <n v="246"/>
    <n v="410.4"/>
    <x v="1"/>
    <x v="0"/>
    <n v="16.3"/>
    <n v="0"/>
    <n v="4.136006089824918E-2"/>
    <n v="5.602118820879701"/>
    <n v="6.0171322938565597"/>
  </r>
  <r>
    <s v="MR191"/>
    <s v="P. blochii"/>
    <d v="2013-08-26T00:00:00"/>
    <n v="3"/>
    <n v="253"/>
    <n v="232"/>
    <n v="311"/>
    <x v="0"/>
    <x v="0"/>
    <n v="18.100000000000001"/>
    <n v="0"/>
    <n v="6.1795834755889394E-2"/>
    <n v="5.5333894887275203"/>
    <n v="5.7397929121792339"/>
  </r>
  <r>
    <s v="MR192"/>
    <s v="P. blochii"/>
    <d v="2013-08-26T00:00:00"/>
    <n v="3"/>
    <n v="265"/>
    <n v="240"/>
    <n v="367"/>
    <x v="0"/>
    <x v="1"/>
    <n v="5"/>
    <n v="0"/>
    <n v="1.3812154696132596E-2"/>
    <n v="5.579729825986222"/>
    <n v="5.9053618480545707"/>
  </r>
  <r>
    <s v="MR193"/>
    <s v="P. blochii"/>
    <d v="2013-08-26T00:00:00"/>
    <n v="3"/>
    <n v="262"/>
    <n v="234"/>
    <n v="334"/>
    <x v="0"/>
    <x v="3"/>
    <n v="24.9"/>
    <n v="0"/>
    <n v="8.0556454221934637E-2"/>
    <n v="5.5683445037610966"/>
    <n v="5.8111409929767008"/>
  </r>
  <r>
    <s v="MR194"/>
    <s v="P. blochii"/>
    <d v="2013-08-26T00:00:00"/>
    <n v="3"/>
    <n v="251"/>
    <n v="225"/>
    <n v="284"/>
    <x v="1"/>
    <x v="1"/>
    <n v="14.6"/>
    <n v="0"/>
    <n v="5.4194506310319232E-2"/>
    <n v="5.5254529391317835"/>
    <n v="5.6489742381612063"/>
  </r>
  <r>
    <s v="MR195"/>
    <s v="P. blochii"/>
    <d v="2013-08-26T00:00:00"/>
    <n v="3"/>
    <n v="220"/>
    <n v="201"/>
    <n v="211"/>
    <x v="0"/>
    <x v="2"/>
    <n v="8.1"/>
    <n v="0"/>
    <n v="3.9921143420404134E-2"/>
    <n v="5.393627546352362"/>
    <n v="5.3518581334760666"/>
  </r>
  <r>
    <s v="MR196"/>
    <s v="P. blochii"/>
    <d v="2013-08-26T00:00:00"/>
    <n v="3"/>
    <n v="290"/>
    <n v="266"/>
    <n v="489"/>
    <x v="1"/>
    <x v="0"/>
    <n v="31.9"/>
    <n v="2"/>
    <n v="6.9787792605556759E-2"/>
    <n v="5.6698809229805196"/>
    <n v="6.1923624894748723"/>
  </r>
  <r>
    <s v="MR197"/>
    <s v="P. blochii"/>
    <d v="2013-08-26T00:00:00"/>
    <n v="3"/>
    <n v="253"/>
    <n v="230"/>
    <n v="284.10000000000002"/>
    <x v="1"/>
    <x v="1"/>
    <n v="17.2"/>
    <n v="0"/>
    <n v="6.44436118396403E-2"/>
    <n v="5.5333894887275203"/>
    <n v="5.6493262888601423"/>
  </r>
  <r>
    <s v="MR198"/>
    <s v="P. blochii"/>
    <d v="2013-08-26T00:00:00"/>
    <n v="3"/>
    <n v="239"/>
    <n v="214"/>
    <n v="246.7"/>
    <x v="0"/>
    <x v="1"/>
    <n v="9.3000000000000007"/>
    <n v="0"/>
    <n v="3.9174389216512222E-2"/>
    <n v="5.476463551931511"/>
    <n v="5.5081730235353108"/>
  </r>
  <r>
    <s v="MR199"/>
    <s v="P. blochii"/>
    <d v="2013-08-26T00:00:00"/>
    <n v="3"/>
    <n v="265"/>
    <n v="240"/>
    <n v="352"/>
    <x v="1"/>
    <x v="0"/>
    <n v="19.600000000000001"/>
    <n v="1"/>
    <n v="5.8965102286401935E-2"/>
    <n v="5.579729825986222"/>
    <n v="5.8636311755980968"/>
  </r>
  <r>
    <s v="MR200"/>
    <s v="P. blochii"/>
    <d v="2013-08-26T00:00:00"/>
    <n v="3"/>
    <n v="250"/>
    <n v="228"/>
    <n v="313"/>
    <x v="0"/>
    <x v="1"/>
    <n v="8.9"/>
    <n v="1"/>
    <n v="2.9266688589279843E-2"/>
    <n v="5.521460917862246"/>
    <n v="5.7462031905401529"/>
  </r>
  <r>
    <s v="MR201"/>
    <s v="P. blochii"/>
    <d v="2013-09-13T00:00:00"/>
    <n v="3"/>
    <n v="237"/>
    <n v="203"/>
    <n v="279.5"/>
    <x v="0"/>
    <x v="2"/>
    <n v="16"/>
    <n v="0"/>
    <n v="6.0721062618595827E-2"/>
    <n v="5.4680601411351315"/>
    <n v="5.6330022925951537"/>
  </r>
  <r>
    <s v="MR202"/>
    <s v="P. blochii"/>
    <d v="2013-09-13T00:00:00"/>
    <n v="3"/>
    <n v="272"/>
    <n v="229"/>
    <n v="393.4"/>
    <x v="0"/>
    <x v="2"/>
    <n v="25.4"/>
    <n v="0"/>
    <n v="6.9021739130434773E-2"/>
    <n v="5.6058020662959978"/>
    <n v="5.9748269059549584"/>
  </r>
  <r>
    <s v="MR203"/>
    <s v="P. blochii"/>
    <d v="2015-09-13T00:00:00"/>
    <n v="3"/>
    <n v="225"/>
    <n v="207"/>
    <n v="227.8"/>
    <x v="1"/>
    <x v="0"/>
    <n v="11.8"/>
    <n v="0"/>
    <n v="5.4629629629629632E-2"/>
    <n v="5.4161004022044201"/>
    <n v="5.4284680510130814"/>
  </r>
  <r>
    <s v="MR204"/>
    <s v="P. blochii"/>
    <d v="2015-09-13T00:00:00"/>
    <n v="3"/>
    <n v="269"/>
    <n v="245"/>
    <n v="360.9"/>
    <x v="1"/>
    <x v="1"/>
    <n v="3.3"/>
    <n v="1"/>
    <n v="9.2281879194630878E-3"/>
    <n v="5.5947113796018391"/>
    <n v="5.8886009116487426"/>
  </r>
  <r>
    <s v="MR205"/>
    <s v="P. blochii"/>
    <d v="2013-08-26T00:00:00"/>
    <n v="3"/>
    <n v="246"/>
    <n v="229"/>
    <n v="284.89999999999998"/>
    <x v="1"/>
    <x v="1"/>
    <n v="14.8"/>
    <n v="0"/>
    <n v="5.4794520547945216E-2"/>
    <n v="5.5053315359323625"/>
    <n v="5.6521382415038621"/>
  </r>
  <r>
    <s v="MR206"/>
    <s v="P. blochii"/>
    <d v="2013-08-26T00:00:00"/>
    <n v="3"/>
    <n v="275"/>
    <n v="243"/>
    <n v="415.8"/>
    <x v="0"/>
    <x v="3"/>
    <n v="23.1"/>
    <n v="1"/>
    <n v="5.8823529411764712E-2"/>
    <n v="5.6167710976665717"/>
    <n v="6.0302043754239127"/>
  </r>
  <r>
    <s v="MR207"/>
    <s v="P. blochii"/>
    <d v="2013-08-26T00:00:00"/>
    <n v="3"/>
    <n v="260"/>
    <n v="239"/>
    <n v="346.6"/>
    <x v="1"/>
    <x v="2"/>
    <n v="17.399999999999999"/>
    <n v="0"/>
    <n v="5.2855407047387594E-2"/>
    <n v="5.5606816310155276"/>
    <n v="5.8481713772815054"/>
  </r>
  <r>
    <s v="MR208"/>
    <s v="P. blochii"/>
    <d v="2013-08-26T00:00:00"/>
    <n v="3"/>
    <n v="275"/>
    <n v="252"/>
    <n v="407.2"/>
    <x v="1"/>
    <x v="1"/>
    <n v="30.1"/>
    <n v="0"/>
    <n v="7.9819676478387711E-2"/>
    <n v="5.6167710976665717"/>
    <n v="6.0093044652363128"/>
  </r>
  <r>
    <s v="MR209"/>
    <s v="P. blochii"/>
    <d v="2013-08-26T00:00:00"/>
    <n v="3"/>
    <n v="242"/>
    <n v="220"/>
    <n v="236"/>
    <x v="0"/>
    <x v="2"/>
    <n v="15.9"/>
    <n v="0"/>
    <n v="7.2239890958655156E-2"/>
    <n v="5.4889377261566867"/>
    <n v="5.4638318050256105"/>
  </r>
  <r>
    <s v="MR210"/>
    <s v="P. blochii"/>
    <d v="2013-09-13T00:00:00"/>
    <n v="3"/>
    <n v="254"/>
    <n v="234"/>
    <n v="301.10000000000002"/>
    <x v="1"/>
    <x v="4"/>
    <n v="2.6"/>
    <n v="0"/>
    <n v="8.7102177554438855E-3"/>
    <n v="5.5373342670185366"/>
    <n v="5.707442435487688"/>
  </r>
  <r>
    <s v="MR212"/>
    <s v="P. blochii"/>
    <d v="2013-09-13T00:00:00"/>
    <n v="3"/>
    <n v="251"/>
    <n v="210"/>
    <n v="310.39999999999998"/>
    <x v="1"/>
    <x v="2"/>
    <n v="16.899999999999999"/>
    <n v="0"/>
    <n v="5.7580919931856892E-2"/>
    <n v="5.5254529391317835"/>
    <n v="5.7378617883090639"/>
  </r>
  <r>
    <s v="MR213"/>
    <s v="P. blochii"/>
    <d v="2013-09-13T00:00:00"/>
    <n v="3"/>
    <n v="288"/>
    <n v="262"/>
    <n v="444.5"/>
    <x v="1"/>
    <x v="2"/>
    <n v="29.7"/>
    <n v="0"/>
    <n v="7.1600771456123424E-2"/>
    <n v="5.6629604801359461"/>
    <n v="6.0969500549539593"/>
  </r>
  <r>
    <s v="MR214"/>
    <s v="P. blochii"/>
    <d v="2013-09-13T00:00:00"/>
    <n v="3"/>
    <n v="244"/>
    <n v="220"/>
    <n v="288.8"/>
    <x v="0"/>
    <x v="2"/>
    <n v="18.2"/>
    <n v="0"/>
    <n v="6.7257945306725783E-2"/>
    <n v="5.4971682252932021"/>
    <n v="5.6657344070186708"/>
  </r>
  <r>
    <s v="MR215"/>
    <s v="P. blochii"/>
    <d v="2013-09-13T00:00:00"/>
    <n v="3"/>
    <n v="223"/>
    <n v="221"/>
    <n v="239.9"/>
    <x v="1"/>
    <x v="0"/>
    <n v="8.1"/>
    <n v="0"/>
    <n v="3.4943917169974109E-2"/>
    <n v="5.4071717714601188"/>
    <n v="5.480222169845649"/>
  </r>
  <r>
    <s v="MR216"/>
    <s v="P. blochii"/>
    <d v="2013-09-13T00:00:00"/>
    <n v="3"/>
    <n v="224"/>
    <n v="209"/>
    <n v="243.7"/>
    <x v="0"/>
    <x v="2"/>
    <n v="17.100000000000001"/>
    <n v="0"/>
    <n v="7.546337157987644E-2"/>
    <n v="5.4116460518550396"/>
    <n v="5.4959379606311609"/>
  </r>
  <r>
    <s v="MR217"/>
    <s v="P. blochii"/>
    <d v="2013-08-26T00:00:00"/>
    <n v="3"/>
    <n v="213"/>
    <n v="192"/>
    <n v="173"/>
    <x v="0"/>
    <x v="0"/>
    <n v="6.2"/>
    <n v="1"/>
    <n v="3.7170263788968823E-2"/>
    <n v="5.3612921657094255"/>
    <n v="5.1532915944977793"/>
  </r>
  <r>
    <s v="MR219"/>
    <s v="P. blochii"/>
    <d v="2013-10-02T00:00:00"/>
    <n v="4"/>
    <n v="268"/>
    <n v="242"/>
    <n v="366.2"/>
    <x v="0"/>
    <x v="3"/>
    <n v="10.8"/>
    <n v="0"/>
    <n v="3.038829487900957E-2"/>
    <n v="5.5909869805108565"/>
    <n v="5.90317963224041"/>
  </r>
  <r>
    <s v="MR220"/>
    <s v="P. blochii"/>
    <d v="2013-09-30T00:00:00"/>
    <n v="3"/>
    <n v="304"/>
    <n v="278"/>
    <n v="515.5"/>
    <x v="0"/>
    <x v="3"/>
    <n v="19.3"/>
    <n v="0"/>
    <n v="3.8895606610237811E-2"/>
    <n v="5.7170277014062219"/>
    <n v="6.2451373034570148"/>
  </r>
  <r>
    <s v="MR222"/>
    <s v="P. blochii"/>
    <d v="2013-09-30T00:00:00"/>
    <n v="3"/>
    <n v="260"/>
    <n v="240"/>
    <n v="350.7"/>
    <x v="0"/>
    <x v="1"/>
    <n v="5.5"/>
    <n v="0"/>
    <n v="1.5932792584009269E-2"/>
    <n v="5.5606816310155276"/>
    <n v="5.8599311571461321"/>
  </r>
  <r>
    <s v="MR223"/>
    <s v="P. blochii"/>
    <d v="2013-07-24T00:00:00"/>
    <n v="3"/>
    <n v="251"/>
    <n v="230"/>
    <n v="304.2"/>
    <x v="1"/>
    <x v="0"/>
    <n v="9.6"/>
    <n v="0"/>
    <n v="3.2586558044806521E-2"/>
    <n v="5.5254529391317835"/>
    <n v="5.7176853798251921"/>
  </r>
  <r>
    <s v="MR224"/>
    <s v="P. blochii"/>
    <d v="2013-09-30T00:00:00"/>
    <n v="3"/>
    <n v="239"/>
    <n v="227"/>
    <n v="334.4"/>
    <x v="1"/>
    <x v="0"/>
    <n v="12.2"/>
    <n v="0"/>
    <n v="3.7864680322780883E-2"/>
    <n v="5.476463551931511"/>
    <n v="5.8123378812105466"/>
  </r>
  <r>
    <s v="MR225"/>
    <s v="P. blochii"/>
    <d v="2013-10-02T00:00:00"/>
    <n v="4"/>
    <n v="400"/>
    <n v="365"/>
    <n v="1234.5"/>
    <x v="0"/>
    <x v="2"/>
    <n v="54.3"/>
    <n v="1"/>
    <n v="4.6009150991357391E-2"/>
    <n v="5.9914645471079817"/>
    <n v="7.1184213087852344"/>
  </r>
  <r>
    <s v="MR226"/>
    <s v="P. blochii"/>
    <d v="2013-09-30T00:00:00"/>
    <n v="3"/>
    <n v="239"/>
    <n v="219"/>
    <n v="268"/>
    <x v="0"/>
    <x v="1"/>
    <n v="3.1"/>
    <n v="0"/>
    <n v="1.1702529256323143E-2"/>
    <n v="5.476463551931511"/>
    <n v="5.5909869805108565"/>
  </r>
  <r>
    <s v="MR227"/>
    <s v="P. blochii"/>
    <d v="2013-09-30T00:00:00"/>
    <n v="3"/>
    <n v="242"/>
    <n v="219"/>
    <n v="279.89999999999998"/>
    <x v="0"/>
    <x v="0"/>
    <n v="7"/>
    <n v="1"/>
    <n v="2.5650421399780143E-2"/>
    <n v="5.4889377261566867"/>
    <n v="5.634432396521408"/>
  </r>
  <r>
    <s v="MR229"/>
    <s v="P. blochii"/>
    <d v="2013-09-30T00:00:00"/>
    <n v="3"/>
    <n v="248"/>
    <n v="230"/>
    <n v="314.7"/>
    <x v="1"/>
    <x v="0"/>
    <n v="15.1"/>
    <n v="0"/>
    <n v="5.0400534045393866E-2"/>
    <n v="5.5134287461649825"/>
    <n v="5.7516198040703612"/>
  </r>
  <r>
    <s v="MR230"/>
    <s v="P. blochii"/>
    <d v="2013-10-02T00:00:00"/>
    <n v="4"/>
    <n v="248"/>
    <n v="227"/>
    <n v="292.10000000000002"/>
    <x v="0"/>
    <x v="3"/>
    <n v="10"/>
    <n v="0"/>
    <n v="3.5448422545196735E-2"/>
    <n v="5.5134287461649825"/>
    <n v="5.677096209393695"/>
  </r>
  <r>
    <s v="MR233"/>
    <s v="P. blochii"/>
    <d v="2013-07-24T00:00:00"/>
    <n v="3"/>
    <n v="273"/>
    <n v="250"/>
    <n v="430"/>
    <x v="0"/>
    <x v="2"/>
    <n v="28.2"/>
    <n v="2"/>
    <n v="7.0184171229467393E-2"/>
    <n v="5.6094717951849598"/>
    <n v="6.0637852086876078"/>
  </r>
  <r>
    <s v="MR234"/>
    <s v="P. blochii"/>
    <d v="2013-07-24T00:00:00"/>
    <n v="3"/>
    <n v="240"/>
    <n v="215"/>
    <n v="259.8"/>
    <x v="0"/>
    <x v="2"/>
    <n v="13.8"/>
    <n v="1"/>
    <n v="5.6097560975609757E-2"/>
    <n v="5.4806389233419912"/>
    <n v="5.5599121042364992"/>
  </r>
  <r>
    <s v="MR236"/>
    <s v="P. blochii"/>
    <d v="2013-07-22T00:00:00"/>
    <n v="3"/>
    <n v="217"/>
    <n v="194"/>
    <n v="194"/>
    <x v="1"/>
    <x v="5"/>
    <n v="0.1"/>
    <n v="0"/>
    <n v="5.1572975760701394E-4"/>
    <n v="5.3798973535404597"/>
    <n v="5.2678581590633282"/>
  </r>
  <r>
    <s v="MR237"/>
    <s v="P. blochii"/>
    <d v="2013-10-02T00:00:00"/>
    <n v="4"/>
    <n v="240"/>
    <n v="211"/>
    <n v="287.60000000000002"/>
    <x v="0"/>
    <x v="0"/>
    <n v="18.2"/>
    <n v="1"/>
    <n v="6.7557535263548615E-2"/>
    <n v="5.4806389233419912"/>
    <n v="5.6615706258468919"/>
  </r>
  <r>
    <s v="MR239"/>
    <s v="P. blochii"/>
    <d v="2013-07-24T00:00:00"/>
    <n v="3"/>
    <n v="229"/>
    <n v="204"/>
    <n v="238.6"/>
    <x v="1"/>
    <x v="0"/>
    <n v="5.5"/>
    <n v="2"/>
    <n v="2.3595023595023596E-2"/>
    <n v="5.43372200355424"/>
    <n v="5.4747885096638154"/>
  </r>
  <r>
    <s v="MR239"/>
    <s v="P. blochii"/>
    <d v="2013-07-24T00:00:00"/>
    <n v="3"/>
    <n v="231"/>
    <n v="209"/>
    <n v="245"/>
    <x v="1"/>
    <x v="0"/>
    <n v="13"/>
    <n v="0"/>
    <n v="5.6034482758620691E-2"/>
    <n v="5.4424177105217932"/>
    <n v="5.5012582105447274"/>
  </r>
  <r>
    <s v="MR243"/>
    <s v="P. blochii"/>
    <d v="2013-07-22T00:00:00"/>
    <n v="3"/>
    <n v="196"/>
    <n v="175"/>
    <n v="120"/>
    <x v="0"/>
    <x v="4"/>
    <n v="2.2999999999999998"/>
    <n v="0"/>
    <n v="1.9541206457094305E-2"/>
    <n v="5.2781146592305168"/>
    <n v="4.7874917427820458"/>
  </r>
  <r>
    <s v="MR244"/>
    <s v="P. blochii"/>
    <d v="2013-10-02T00:00:00"/>
    <n v="4"/>
    <n v="241"/>
    <n v="217"/>
    <n v="292.3"/>
    <x v="0"/>
    <x v="0"/>
    <n v="15.4"/>
    <m/>
    <n v="5.5615745756590819E-2"/>
    <n v="5.4847969334906548"/>
    <n v="5.6777806721172004"/>
  </r>
  <r>
    <s v="MR247"/>
    <s v="P. blochii"/>
    <d v="2013-05-29T00:00:00"/>
    <n v="2"/>
    <n v="229"/>
    <n v="216"/>
    <n v="264.60000000000002"/>
    <x v="0"/>
    <x v="0"/>
    <n v="13.2"/>
    <n v="0"/>
    <n v="5.2505966587112159E-2"/>
    <n v="5.43372200355424"/>
    <n v="5.5782192516808555"/>
  </r>
  <r>
    <s v="MR248"/>
    <s v="P. blochii"/>
    <d v="2014-07-17T00:00:00"/>
    <n v="3"/>
    <n v="258"/>
    <n v="219"/>
    <n v="351"/>
    <x v="0"/>
    <x v="2"/>
    <n v="24"/>
    <n v="1"/>
    <n v="7.3394495412844041E-2"/>
    <n v="5.5529595849216173"/>
    <n v="5.8607862234658654"/>
  </r>
  <r>
    <s v="MR248"/>
    <s v="P. blochii"/>
    <d v="2013-04-29T00:00:00"/>
    <n v="2"/>
    <n v="258"/>
    <n v="235"/>
    <n v="350.5"/>
    <x v="1"/>
    <x v="2"/>
    <n v="25"/>
    <n v="1"/>
    <n v="7.6804915514592939E-2"/>
    <n v="5.5529595849216173"/>
    <n v="5.8593607064746447"/>
  </r>
  <r>
    <s v="MR249"/>
    <s v="P. blochii"/>
    <d v="2014-04-29T00:00:00"/>
    <n v="2"/>
    <n v="236"/>
    <n v="211"/>
    <n v="261.60000000000002"/>
    <x v="0"/>
    <x v="4"/>
    <n v="6.3"/>
    <n v="1"/>
    <n v="2.4676850763807285E-2"/>
    <n v="5.4638318050256105"/>
    <n v="5.5668166195830437"/>
  </r>
  <r>
    <s v="MR249"/>
    <s v="P. blochii"/>
    <d v="2015-07-16T00:00:00"/>
    <n v="3"/>
    <n v="270"/>
    <n v="250"/>
    <n v="384.5"/>
    <x v="1"/>
    <x v="2"/>
    <n v="3.15"/>
    <n v="2"/>
    <n v="8.2601284908876346E-3"/>
    <n v="5.598421958998375"/>
    <n v="5.951943788945699"/>
  </r>
  <r>
    <s v="MR250"/>
    <s v="P. blochii"/>
    <d v="2014-07-17T00:00:00"/>
    <n v="3"/>
    <n v="215"/>
    <n v="190"/>
    <n v="193.5"/>
    <x v="0"/>
    <x v="4"/>
    <n v="2.38"/>
    <n v="1"/>
    <n v="1.2452909167015486E-2"/>
    <n v="5.3706380281276624"/>
    <n v="5.2652775124698366"/>
  </r>
  <r>
    <s v="MR250"/>
    <s v="P. blochii"/>
    <d v="2014-04-29T00:00:00"/>
    <n v="2"/>
    <n v="326"/>
    <n v="302"/>
    <n v="769.5"/>
    <x v="0"/>
    <x v="0"/>
    <n v="42"/>
    <n v="1"/>
    <n v="5.7731958762886601E-2"/>
    <n v="5.7868973813667077"/>
    <n v="6.645740953278934"/>
  </r>
  <r>
    <s v="MR251"/>
    <s v="P. blochii"/>
    <d v="2014-04-29T00:00:00"/>
    <n v="2"/>
    <n v="242"/>
    <n v="228"/>
    <n v="336"/>
    <x v="0"/>
    <x v="0"/>
    <n v="17"/>
    <n v="2"/>
    <n v="5.329153605015674E-2"/>
    <n v="5.4889377261566867"/>
    <n v="5.8171111599632042"/>
  </r>
  <r>
    <s v="MR252"/>
    <s v="P. blochii"/>
    <d v="2015-07-26T00:00:00"/>
    <n v="3"/>
    <n v="185"/>
    <n v="175"/>
    <n v="127"/>
    <x v="1"/>
    <x v="5"/>
    <n v="0.55000000000000004"/>
    <n v="2"/>
    <n v="4.3495452748121789E-3"/>
    <n v="5.2203558250783244"/>
    <n v="4.8441870864585912"/>
  </r>
  <r>
    <s v="MR252"/>
    <s v="P. blochii"/>
    <d v="2014-04-29T00:00:00"/>
    <n v="2"/>
    <n v="259"/>
    <n v="235"/>
    <n v="371"/>
    <x v="0"/>
    <x v="0"/>
    <n v="16.5"/>
    <n v="2"/>
    <n v="4.6544428772919602E-2"/>
    <n v="5.5568280616995374"/>
    <n v="5.916202062607435"/>
  </r>
  <r>
    <s v="MR253"/>
    <s v="P. blochii"/>
    <d v="2014-07-26T00:00:00"/>
    <n v="3"/>
    <n v="161"/>
    <n v="154"/>
    <n v="100.08"/>
    <x v="0"/>
    <x v="4"/>
    <n v="0.16"/>
    <n v="2"/>
    <n v="1.601281024819856E-3"/>
    <n v="5.0814043649844631"/>
    <n v="4.6059698661586559"/>
  </r>
  <r>
    <s v="MR253"/>
    <s v="P. blochii"/>
    <d v="2014-04-29T00:00:00"/>
    <n v="2"/>
    <n v="240"/>
    <n v="225"/>
    <n v="294.10000000000002"/>
    <x v="0"/>
    <x v="3"/>
    <n v="16.5"/>
    <n v="1"/>
    <n v="5.9438040345821321E-2"/>
    <n v="5.4806389233419912"/>
    <n v="5.6839198455599496"/>
  </r>
  <r>
    <s v="MR254"/>
    <s v="P. blochii"/>
    <d v="2015-07-26T00:00:00"/>
    <n v="3"/>
    <n v="186"/>
    <n v="173"/>
    <n v="129.19999999999999"/>
    <x v="1"/>
    <x v="4"/>
    <n v="0.14000000000000001"/>
    <n v="1"/>
    <n v="1.0847667751433443E-3"/>
    <n v="5.2257466737132017"/>
    <n v="4.8613615913485013"/>
  </r>
  <r>
    <s v="MR254"/>
    <s v="P. blochii"/>
    <d v="2014-04-29T00:00:00"/>
    <n v="2"/>
    <n v="260"/>
    <n v="235"/>
    <n v="360.4"/>
    <x v="0"/>
    <x v="2"/>
    <n v="31"/>
    <n v="1"/>
    <n v="9.4110503946569529E-2"/>
    <n v="5.5606816310155276"/>
    <n v="5.8872145257341826"/>
  </r>
  <r>
    <s v="MR255"/>
    <s v="P. blochii"/>
    <d v="2015-07-26T00:00:00"/>
    <n v="3"/>
    <n v="188"/>
    <n v="164"/>
    <n v="146"/>
    <x v="1"/>
    <x v="4"/>
    <n v="0.23"/>
    <n v="2"/>
    <n v="1.577828085339919E-3"/>
    <n v="5.2364419628299492"/>
    <n v="4.9836066217083363"/>
  </r>
  <r>
    <s v="MR255"/>
    <s v="P. blochii"/>
    <d v="2014-05-23T00:00:00"/>
    <n v="2"/>
    <n v="260"/>
    <n v="245"/>
    <n v="317.5"/>
    <x v="1"/>
    <x v="2"/>
    <n v="25.9"/>
    <n v="2"/>
    <n v="8.8820301783264735E-2"/>
    <n v="5.5606816310155276"/>
    <n v="5.7604778183327463"/>
  </r>
  <r>
    <s v="MR256"/>
    <s v="P. blochii"/>
    <d v="2014-01-23T00:00:00"/>
    <n v="1"/>
    <n v="240"/>
    <n v="220"/>
    <n v="311"/>
    <x v="0"/>
    <x v="1"/>
    <n v="3.64"/>
    <n v="2"/>
    <n v="1.1842790213430505E-2"/>
    <n v="5.4806389233419912"/>
    <n v="5.7397929121792339"/>
  </r>
  <r>
    <s v="MR256"/>
    <s v="P. blochii"/>
    <d v="2014-05-23T00:00:00"/>
    <n v="2"/>
    <n v="295"/>
    <n v="268"/>
    <n v="530"/>
    <x v="1"/>
    <x v="2"/>
    <n v="49.5"/>
    <n v="0"/>
    <n v="0.10301768990634755"/>
    <n v="5.6869753563398202"/>
    <n v="6.2728770065461674"/>
  </r>
  <r>
    <s v="MR257"/>
    <s v="P. blochii"/>
    <d v="2014-07-26T00:00:00"/>
    <n v="3"/>
    <n v="126"/>
    <n v="116"/>
    <n v="39.5"/>
    <x v="3"/>
    <x v="5"/>
    <n v="0"/>
    <n v="1"/>
    <n v="0"/>
    <n v="4.836281906951478"/>
    <n v="3.6763006719070761"/>
  </r>
  <r>
    <s v="MR257"/>
    <s v="P. blochii"/>
    <d v="2014-05-23T00:00:00"/>
    <n v="2"/>
    <n v="238"/>
    <n v="222"/>
    <n v="310.5"/>
    <x v="1"/>
    <x v="0"/>
    <n v="23"/>
    <n v="1"/>
    <n v="0.08"/>
    <n v="5.472270673671475"/>
    <n v="5.7381839013735334"/>
  </r>
  <r>
    <s v="MR258"/>
    <s v="P. blochii"/>
    <d v="2014-07-26T00:00:00"/>
    <n v="3"/>
    <n v="179"/>
    <n v="164"/>
    <n v="116"/>
    <x v="2"/>
    <x v="6"/>
    <s v="0,29; 0,14"/>
    <n v="2"/>
    <e v="#VALUE!"/>
    <n v="5.1873858058407549"/>
    <n v="4.7535901911063645"/>
  </r>
  <r>
    <s v="MR258"/>
    <s v="P. blochii"/>
    <d v="2014-05-23T00:00:00"/>
    <n v="2"/>
    <n v="245"/>
    <n v="221"/>
    <n v="300"/>
    <x v="0"/>
    <x v="2"/>
    <n v="15.5"/>
    <n v="2"/>
    <n v="5.4481546572934976E-2"/>
    <n v="5.5012582105447274"/>
    <n v="5.7037824746562009"/>
  </r>
  <r>
    <s v="MR259"/>
    <s v="P. blochii"/>
    <d v="2014-05-16T00:00:00"/>
    <n v="2"/>
    <n v="218"/>
    <n v="205"/>
    <n v="213.7"/>
    <x v="0"/>
    <x v="3"/>
    <n v="13.07"/>
    <n v="1"/>
    <n v="6.5144793899217471E-2"/>
    <n v="5.3844950627890888"/>
    <n v="5.3645731623251018"/>
  </r>
  <r>
    <s v="MR259"/>
    <s v="P. blochii"/>
    <d v="2014-05-23T00:00:00"/>
    <n v="2"/>
    <n v="246"/>
    <n v="238"/>
    <n v="333.5"/>
    <x v="1"/>
    <x v="0"/>
    <n v="27.5"/>
    <n v="2"/>
    <n v="8.9869281045751634E-2"/>
    <n v="5.5053315359323625"/>
    <n v="5.809642865355678"/>
  </r>
  <r>
    <s v="MR260"/>
    <s v="P. blochii"/>
    <d v="2014-05-16T00:00:00"/>
    <n v="2"/>
    <n v="230"/>
    <n v="200"/>
    <n v="272.63"/>
    <x v="0"/>
    <x v="0"/>
    <n v="12.8"/>
    <n v="0"/>
    <n v="4.92629796405342E-2"/>
    <n v="5.4380793089231956"/>
    <n v="5.6081155645645255"/>
  </r>
  <r>
    <s v="MR260"/>
    <s v="P. blochii"/>
    <d v="2014-05-23T00:00:00"/>
    <n v="2"/>
    <n v="251"/>
    <n v="232"/>
    <n v="329.5"/>
    <x v="1"/>
    <x v="0"/>
    <n v="28"/>
    <n v="1"/>
    <n v="9.2868988391376445E-2"/>
    <n v="5.5254529391317835"/>
    <n v="5.7975763539425618"/>
  </r>
  <r>
    <s v="MR261"/>
    <s v="P. blochii"/>
    <d v="2014-05-23T00:00:00"/>
    <n v="2"/>
    <n v="225"/>
    <n v="195"/>
    <n v="294.10000000000002"/>
    <x v="0"/>
    <x v="0"/>
    <n v="14.7"/>
    <n v="1"/>
    <n v="5.2612741589119535E-2"/>
    <n v="5.4161004022044201"/>
    <n v="5.6839198455599496"/>
  </r>
  <r>
    <s v="MR261"/>
    <s v="P. blochii"/>
    <d v="2014-05-16T00:00:00"/>
    <n v="2"/>
    <n v="250"/>
    <n v="205"/>
    <n v="304.43"/>
    <x v="1"/>
    <x v="2"/>
    <n v="17.87"/>
    <n v="1"/>
    <n v="6.2360413176996095E-2"/>
    <n v="5.521460917862246"/>
    <n v="5.7184411756648608"/>
  </r>
  <r>
    <s v="MR262"/>
    <s v="P. blochii"/>
    <d v="2014-05-16T00:00:00"/>
    <n v="2"/>
    <n v="260"/>
    <n v="235"/>
    <n v="346.5"/>
    <x v="0"/>
    <x v="2"/>
    <n v="23.5"/>
    <n v="1"/>
    <n v="7.275541795665634E-2"/>
    <n v="5.5606816310155276"/>
    <n v="5.8478828186299578"/>
  </r>
  <r>
    <s v="MR262"/>
    <s v="P. blochii"/>
    <d v="2014-04-29T00:00:00"/>
    <n v="2"/>
    <n v="277"/>
    <n v="252"/>
    <n v="477.5"/>
    <x v="0"/>
    <x v="0"/>
    <n v="4.5"/>
    <n v="2"/>
    <n v="9.5137420718816069E-3"/>
    <n v="5.6240175061873385"/>
    <n v="6.168564159920785"/>
  </r>
  <r>
    <s v="MR263"/>
    <s v="P. blochii"/>
    <d v="2014-04-29T00:00:00"/>
    <n v="2"/>
    <n v="234"/>
    <n v="219"/>
    <n v="281"/>
    <x v="1"/>
    <x v="4"/>
    <n v="1.5"/>
    <n v="2"/>
    <n v="5.3667262969588547E-3"/>
    <n v="5.4553211153577017"/>
    <n v="5.6383546693337454"/>
  </r>
  <r>
    <s v="MR263"/>
    <s v="P. blochii"/>
    <d v="2014-01-23T00:00:00"/>
    <n v="1"/>
    <n v="260"/>
    <n v="245"/>
    <n v="398.86"/>
    <x v="0"/>
    <x v="0"/>
    <n v="4.9000000000000004"/>
    <n v="2"/>
    <n v="1.2437810945273631E-2"/>
    <n v="5.5606816310155276"/>
    <n v="5.988610478125076"/>
  </r>
  <r>
    <s v="MR264"/>
    <s v="P. blochii"/>
    <d v="2014-01-13T00:00:00"/>
    <n v="1"/>
    <n v="208"/>
    <n v="187"/>
    <n v="269"/>
    <x v="1"/>
    <x v="4"/>
    <n v="0.5"/>
    <n v="3"/>
    <n v="1.8621973929236499E-3"/>
    <n v="5.3375380797013179"/>
    <n v="5.5947113796018391"/>
  </r>
  <r>
    <s v="MR264"/>
    <s v="P. blochii"/>
    <d v="2014-01-23T00:00:00"/>
    <n v="1"/>
    <n v="240"/>
    <n v="210"/>
    <n v="324.3"/>
    <x v="0"/>
    <x v="1"/>
    <n v="3.2"/>
    <n v="2"/>
    <n v="9.9657427592650255E-3"/>
    <n v="5.4806389233419912"/>
    <n v="5.7816690133132722"/>
  </r>
  <r>
    <s v="MR265"/>
    <s v="P. blochii"/>
    <d v="2014-07-26T00:00:00"/>
    <n v="3"/>
    <n v="190"/>
    <n v="160"/>
    <n v="126.5"/>
    <x v="1"/>
    <x v="4"/>
    <n v="0.08"/>
    <n v="2"/>
    <n v="6.3281126404049991E-4"/>
    <n v="5.2470240721604862"/>
    <n v="4.8402423081675749"/>
  </r>
  <r>
    <s v="MR265"/>
    <s v="P. blochii"/>
    <d v="2014-01-13T00:00:00"/>
    <n v="1"/>
    <n v="225"/>
    <n v="210"/>
    <n v="261"/>
    <x v="1"/>
    <x v="4"/>
    <n v="0.4"/>
    <n v="1"/>
    <n v="1.5349194167306216E-3"/>
    <n v="5.4161004022044201"/>
    <n v="5.5645204073226937"/>
  </r>
  <r>
    <s v="MR266"/>
    <s v="P. blochii"/>
    <d v="2014-01-13T00:00:00"/>
    <n v="1"/>
    <n v="199"/>
    <n v="185"/>
    <n v="169.5"/>
    <x v="0"/>
    <x v="4"/>
    <n v="0.5"/>
    <n v="2"/>
    <n v="2.9585798816568047E-3"/>
    <n v="5.2933048247244923"/>
    <n v="5.1328529268205045"/>
  </r>
  <r>
    <s v="MR266"/>
    <s v="P. blochii"/>
    <d v="2014-01-23T00:00:00"/>
    <n v="1"/>
    <n v="320"/>
    <n v="285"/>
    <n v="646"/>
    <x v="1"/>
    <x v="0"/>
    <n v="1.32"/>
    <n v="2"/>
    <n v="2.0475274554817898E-3"/>
    <n v="5.768320995793772"/>
    <n v="6.4707995037826018"/>
  </r>
  <r>
    <s v="MR267"/>
    <s v="P. blochii"/>
    <d v="2014-01-23T00:00:00"/>
    <n v="1"/>
    <n v="180"/>
    <n v="172"/>
    <n v="158"/>
    <x v="1"/>
    <x v="5"/>
    <n v="0.34"/>
    <n v="2"/>
    <n v="2.156539388557656E-3"/>
    <n v="5.1929568508902104"/>
    <n v="5.0625950330269669"/>
  </r>
  <r>
    <s v="MR267"/>
    <s v="P. blochii"/>
    <d v="2014-01-08T00:00:00"/>
    <n v="1"/>
    <n v="248"/>
    <n v="230"/>
    <n v="310.8"/>
    <x v="0"/>
    <x v="4"/>
    <n v="3.3"/>
    <n v="1"/>
    <n v="1.073170731707317E-2"/>
    <n v="5.5134287461649825"/>
    <n v="5.7391496184934923"/>
  </r>
  <r>
    <s v="MR268"/>
    <s v="P. blochii"/>
    <d v="2014-01-08T00:00:00"/>
    <n v="1"/>
    <n v="245"/>
    <n v="230"/>
    <n v="317.5"/>
    <x v="0"/>
    <x v="1"/>
    <n v="4.7"/>
    <n v="1"/>
    <n v="1.5025575447570333E-2"/>
    <n v="5.5012582105447274"/>
    <n v="5.7604778183327463"/>
  </r>
  <r>
    <s v="MR268"/>
    <s v="P. blochii"/>
    <d v="2014-01-23T00:00:00"/>
    <n v="1"/>
    <n v="257"/>
    <n v="235"/>
    <n v="354.5"/>
    <x v="0"/>
    <x v="4"/>
    <n v="2.5"/>
    <n v="2"/>
    <n v="7.102272727272727E-3"/>
    <n v="5.5490760848952201"/>
    <n v="5.8707083459721821"/>
  </r>
  <r>
    <s v="MR269"/>
    <s v="P. blochii"/>
    <d v="2015-07-26T00:00:00"/>
    <n v="3"/>
    <n v="165"/>
    <n v="146"/>
    <n v="83"/>
    <x v="1"/>
    <x v="5"/>
    <n v="0.2"/>
    <n v="1"/>
    <n v="2.415458937198068E-3"/>
    <n v="5.1059454739005803"/>
    <n v="4.4188406077965983"/>
  </r>
  <r>
    <s v="MR269"/>
    <s v="P. blochii"/>
    <d v="2014-03-29T00:00:00"/>
    <n v="1"/>
    <n v="260"/>
    <n v="241"/>
    <n v="451.5"/>
    <x v="0"/>
    <x v="0"/>
    <n v="22.2"/>
    <n v="2"/>
    <n v="5.1712089447938502E-2"/>
    <n v="5.5606816310155276"/>
    <n v="6.11257537285704"/>
  </r>
  <r>
    <s v="MR270"/>
    <s v="P. blochii"/>
    <d v="2015-07-26T00:00:00"/>
    <n v="3"/>
    <n v="181"/>
    <n v="174"/>
    <n v="139.5"/>
    <x v="0"/>
    <x v="5"/>
    <n v="0.5"/>
    <n v="2"/>
    <n v="3.5971223021582736E-3"/>
    <n v="5.1984970312658261"/>
    <n v="4.93806460126142"/>
  </r>
  <r>
    <s v="MR270"/>
    <s v="P. blochii"/>
    <d v="2014-03-29T00:00:00"/>
    <n v="1"/>
    <n v="235"/>
    <n v="230"/>
    <n v="384.5"/>
    <x v="0"/>
    <x v="0"/>
    <n v="16"/>
    <n v="1"/>
    <n v="4.3419267299864311E-2"/>
    <n v="5.4595855141441589"/>
    <n v="5.951943788945699"/>
  </r>
  <r>
    <s v="MR271"/>
    <s v="P. blochii"/>
    <d v="2015-07-26T00:00:00"/>
    <n v="3"/>
    <n v="190"/>
    <n v="173"/>
    <n v="142"/>
    <x v="0"/>
    <x v="4"/>
    <n v="0.2"/>
    <n v="2"/>
    <n v="1.4104372355430183E-3"/>
    <n v="5.2470240721604862"/>
    <n v="4.9558270576012609"/>
  </r>
  <r>
    <s v="MR271"/>
    <s v="P. blochii"/>
    <d v="2014-03-29T00:00:00"/>
    <n v="1"/>
    <n v="216"/>
    <n v="209"/>
    <n v="228"/>
    <x v="1"/>
    <x v="0"/>
    <n v="18"/>
    <n v="1"/>
    <n v="8.5714285714285715E-2"/>
    <n v="5.3752784076841653"/>
    <n v="5.4293456289544411"/>
  </r>
  <r>
    <s v="MR271"/>
    <s v="P. blochii"/>
    <d v="2014-01-23T00:00:00"/>
    <n v="1"/>
    <n v="231"/>
    <n v="211"/>
    <n v="267.5"/>
    <x v="0"/>
    <x v="1"/>
    <n v="3"/>
    <n v="2"/>
    <n v="1.1342155009451797E-2"/>
    <n v="5.4424177105217932"/>
    <n v="5.5891195663360609"/>
  </r>
  <r>
    <s v="MR272"/>
    <s v="P. blochii"/>
    <d v="2015-07-26T00:00:00"/>
    <n v="3"/>
    <n v="177"/>
    <n v="168"/>
    <n v="127"/>
    <x v="1"/>
    <x v="5"/>
    <n v="0.33"/>
    <n v="2"/>
    <n v="2.6051946001421017E-3"/>
    <n v="5.1761497325738288"/>
    <n v="4.8441870864585912"/>
  </r>
  <r>
    <s v="MR272"/>
    <s v="P. blochii"/>
    <d v="2014-01-23T00:00:00"/>
    <n v="1"/>
    <n v="231"/>
    <n v="211"/>
    <n v="267.5"/>
    <x v="0"/>
    <x v="1"/>
    <n v="3"/>
    <n v="2"/>
    <n v="1.1342155009451797E-2"/>
    <n v="5.4424177105217932"/>
    <n v="5.5891195663360609"/>
  </r>
  <r>
    <s v="MR273"/>
    <s v="P. blochii"/>
    <d v="2015-07-26T00:00:00"/>
    <n v="3"/>
    <n v="183"/>
    <n v="164"/>
    <n v="128.58000000000001"/>
    <x v="0"/>
    <x v="4"/>
    <n v="0.28999999999999998"/>
    <n v="2"/>
    <n v="2.2605035466521156E-3"/>
    <n v="5.2094861528414214"/>
    <n v="4.8565512787135408"/>
  </r>
  <r>
    <s v="MR273"/>
    <s v="P. blochii"/>
    <d v="2014-01-23T00:00:00"/>
    <n v="1"/>
    <n v="234"/>
    <n v="223"/>
    <n v="327"/>
    <x v="0"/>
    <x v="4"/>
    <n v="4.5"/>
    <n v="1"/>
    <n v="1.3953488372093023E-2"/>
    <n v="5.4553211153577017"/>
    <n v="5.7899601708972535"/>
  </r>
  <r>
    <s v="MR274"/>
    <s v="P. blochii"/>
    <d v="2015-07-26T00:00:00"/>
    <n v="3"/>
    <n v="196"/>
    <n v="176"/>
    <n v="153.56"/>
    <x v="1"/>
    <x v="5"/>
    <n v="0.14000000000000001"/>
    <n v="2"/>
    <n v="9.1252770173380258E-4"/>
    <n v="5.2781146592305168"/>
    <n v="5.0340913701325967"/>
  </r>
  <r>
    <s v="MR275"/>
    <s v="P. blochii"/>
    <d v="2015-07-26T00:00:00"/>
    <n v="3"/>
    <n v="188"/>
    <n v="167"/>
    <n v="119.5"/>
    <x v="0"/>
    <x v="4"/>
    <n v="0.27"/>
    <n v="2"/>
    <n v="2.2645307389079932E-3"/>
    <n v="5.2364419628299492"/>
    <n v="4.7833163713715656"/>
  </r>
  <r>
    <s v="MR275"/>
    <s v="P. blochii"/>
    <d v="2014-03-29T00:00:00"/>
    <n v="1"/>
    <n v="275"/>
    <n v="250"/>
    <n v="372"/>
    <x v="1"/>
    <x v="2"/>
    <n v="23"/>
    <n v="2"/>
    <n v="6.5902578796561598E-2"/>
    <n v="5.6167710976665717"/>
    <n v="5.9188938542731462"/>
  </r>
  <r>
    <s v="MR276"/>
    <s v="P. blochii"/>
    <d v="2014-01-23T00:00:00"/>
    <n v="1"/>
    <n v="196"/>
    <n v="174"/>
    <n v="150"/>
    <x v="0"/>
    <x v="5"/>
    <n v="0.5"/>
    <n v="1"/>
    <n v="3.3444816053511705E-3"/>
    <n v="5.2781146592305168"/>
    <n v="5.0106352940962555"/>
  </r>
  <r>
    <s v="MR276"/>
    <s v="P. blochii"/>
    <d v="2014-03-29T00:00:00"/>
    <n v="1"/>
    <n v="257"/>
    <n v="214"/>
    <n v="311"/>
    <x v="1"/>
    <x v="2"/>
    <n v="17"/>
    <n v="2"/>
    <n v="5.7823129251700682E-2"/>
    <n v="5.5490760848952201"/>
    <n v="5.7397929121792339"/>
  </r>
  <r>
    <s v="MR276"/>
    <s v="P. blochii"/>
    <d v="2014-07-26T00:00:00"/>
    <n v="3"/>
    <n v="260"/>
    <n v="230"/>
    <n v="367"/>
    <x v="0"/>
    <x v="1"/>
    <n v="20.91"/>
    <n v="1"/>
    <n v="6.0417810396139734E-2"/>
    <n v="5.5606816310155276"/>
    <n v="5.9053618480545707"/>
  </r>
  <r>
    <s v="MR277"/>
    <s v="P. blochii"/>
    <d v="2015-07-26T00:00:00"/>
    <n v="3"/>
    <n v="185"/>
    <n v="165"/>
    <n v="135.5"/>
    <x v="1"/>
    <x v="4"/>
    <n v="0.25"/>
    <n v="3"/>
    <n v="1.8484288354898336E-3"/>
    <n v="5.2203558250783244"/>
    <n v="4.9089716403197556"/>
  </r>
  <r>
    <s v="MR278"/>
    <s v="P. blochii"/>
    <d v="2015-07-27T00:00:00"/>
    <n v="3"/>
    <n v="180"/>
    <n v="162"/>
    <n v="122"/>
    <x v="1"/>
    <x v="4"/>
    <n v="2.8"/>
    <n v="2"/>
    <n v="2.3489932885906038E-2"/>
    <n v="5.1929568508902104"/>
    <n v="4.8040210447332568"/>
  </r>
  <r>
    <s v="MR278"/>
    <s v="P. blochii"/>
    <d v="2014-03-29T00:00:00"/>
    <n v="1"/>
    <n v="255"/>
    <n v="233"/>
    <n v="362.5"/>
    <x v="0"/>
    <x v="0"/>
    <n v="16.5"/>
    <n v="1"/>
    <n v="4.7687861271676298E-2"/>
    <n v="5.5412635451584258"/>
    <n v="5.8930244742947293"/>
  </r>
  <r>
    <s v="MR279"/>
    <s v="P. blochii"/>
    <d v="2015-07-26T00:00:00"/>
    <n v="3"/>
    <n v="232"/>
    <n v="218"/>
    <n v="305.8"/>
    <x v="1"/>
    <x v="2"/>
    <n v="15"/>
    <n v="1"/>
    <n v="5.15818431911967E-2"/>
    <n v="5.4467373716663099"/>
    <n v="5.7229312934949617"/>
  </r>
  <r>
    <s v="MR279"/>
    <s v="P. blochii"/>
    <d v="2014-04-29T00:00:00"/>
    <n v="2"/>
    <n v="241"/>
    <n v="223"/>
    <n v="406.4"/>
    <x v="0"/>
    <x v="0"/>
    <n v="12.8"/>
    <n v="1"/>
    <n v="3.2520325203252036E-2"/>
    <n v="5.4847969334906548"/>
    <n v="6.0073378962642723"/>
  </r>
  <r>
    <s v="MR280"/>
    <s v="P. blochii"/>
    <d v="2015-07-26T00:00:00"/>
    <n v="3"/>
    <n v="187"/>
    <m/>
    <n v="134.5"/>
    <x v="1"/>
    <x v="7"/>
    <n v="0.19"/>
    <n v="3"/>
    <n v="1.4146377782741418E-3"/>
    <n v="5.2311086168545868"/>
    <n v="4.9015641990418937"/>
  </r>
  <r>
    <s v="MR281"/>
    <s v="P. blochii"/>
    <d v="2014-04-29T00:00:00"/>
    <n v="2"/>
    <n v="232"/>
    <n v="191"/>
    <n v="355"/>
    <x v="1"/>
    <x v="0"/>
    <n v="23.6"/>
    <n v="2"/>
    <n v="7.1213035606517816E-2"/>
    <n v="5.4467373716663099"/>
    <n v="5.872117789475416"/>
  </r>
  <r>
    <s v="MR281"/>
    <s v="P. blochii"/>
    <d v="2015-07-26T00:00:00"/>
    <n v="3"/>
    <n v="297"/>
    <n v="270"/>
    <n v="572"/>
    <x v="0"/>
    <x v="2"/>
    <n v="40.68"/>
    <n v="0"/>
    <n v="7.6564029210268753E-2"/>
    <n v="5.6937321388026998"/>
    <n v="6.3491389913797978"/>
  </r>
  <r>
    <s v="MR282"/>
    <s v="P. blochii"/>
    <d v="2013-04-29T00:00:00"/>
    <n v="2"/>
    <n v="235"/>
    <n v="214"/>
    <n v="302"/>
    <x v="0"/>
    <x v="0"/>
    <n v="14.5"/>
    <n v="2"/>
    <n v="5.0434782608695654E-2"/>
    <n v="5.4595855141441589"/>
    <n v="5.7104270173748697"/>
  </r>
  <r>
    <s v="MR282"/>
    <s v="P. blochii"/>
    <d v="2015-07-26T00:00:00"/>
    <n v="3"/>
    <n v="255"/>
    <n v="233"/>
    <n v="326"/>
    <x v="1"/>
    <x v="0"/>
    <n v="23.06"/>
    <n v="0"/>
    <n v="7.6120683963821212E-2"/>
    <n v="5.5412635451584258"/>
    <n v="5.7868973813667077"/>
  </r>
  <r>
    <s v="MR283"/>
    <s v="P. blochii"/>
    <d v="2014-01-23T00:00:00"/>
    <n v="1"/>
    <n v="250"/>
    <n v="225"/>
    <n v="318"/>
    <x v="0"/>
    <x v="1"/>
    <n v="3"/>
    <n v="1"/>
    <n v="9.5238095238095247E-3"/>
    <n v="5.521460917862246"/>
    <n v="5.7620513827801769"/>
  </r>
  <r>
    <s v="MR283"/>
    <s v="P. blochii"/>
    <d v="2015-07-26T00:00:00"/>
    <n v="3"/>
    <n v="275"/>
    <n v="240"/>
    <n v="398.76"/>
    <x v="0"/>
    <x v="2"/>
    <n v="23.92"/>
    <n v="1"/>
    <n v="6.3813893928075988E-2"/>
    <n v="5.6167710976665717"/>
    <n v="5.9883597321545032"/>
  </r>
  <r>
    <s v="MR284"/>
    <s v="P. blochii"/>
    <d v="2015-07-26T00:00:00"/>
    <n v="3"/>
    <n v="180"/>
    <n v="160"/>
    <n v="124.05"/>
    <x v="0"/>
    <x v="4"/>
    <n v="0.14000000000000001"/>
    <n v="2"/>
    <n v="1.1298523121620531E-3"/>
    <n v="5.1929568508902104"/>
    <n v="4.8206847101378099"/>
  </r>
  <r>
    <s v="MR284"/>
    <s v="P. blochii"/>
    <d v="2014-06-16T00:00:00"/>
    <n v="2"/>
    <n v="248"/>
    <n v="220"/>
    <n v="324.5"/>
    <x v="1"/>
    <x v="0"/>
    <n v="23"/>
    <n v="1"/>
    <n v="7.6285240464344942E-2"/>
    <n v="5.5134287461649825"/>
    <n v="5.782285536144145"/>
  </r>
  <r>
    <s v="MR285"/>
    <s v="P. blochii"/>
    <d v="2015-07-26T00:00:00"/>
    <n v="3"/>
    <n v="179"/>
    <n v="158"/>
    <n v="119.36"/>
    <x v="0"/>
    <x v="4"/>
    <n v="0.97"/>
    <n v="1"/>
    <n v="8.1932595658417099E-3"/>
    <n v="5.1873858058407549"/>
    <n v="4.7821441364554511"/>
  </r>
  <r>
    <s v="MR285"/>
    <s v="P. blochii"/>
    <d v="2014-06-16T00:00:00"/>
    <n v="2"/>
    <n v="272"/>
    <n v="254"/>
    <n v="379"/>
    <x v="1"/>
    <x v="0"/>
    <n v="28.5"/>
    <n v="0"/>
    <n v="8.1312410841654775E-2"/>
    <n v="5.6058020662959978"/>
    <n v="5.9375362050824263"/>
  </r>
  <r>
    <s v="MR286"/>
    <s v="P. blochii"/>
    <d v="2015-07-26T00:00:00"/>
    <n v="3"/>
    <n v="177"/>
    <n v="162"/>
    <n v="111.5"/>
    <x v="1"/>
    <x v="4"/>
    <n v="1.9"/>
    <n v="2"/>
    <n v="1.7335766423357664E-2"/>
    <n v="5.1761497325738288"/>
    <n v="4.7140245909001735"/>
  </r>
  <r>
    <s v="MR286"/>
    <s v="P. blochii"/>
    <d v="2014-06-16T00:00:00"/>
    <n v="2"/>
    <n v="254"/>
    <n v="234"/>
    <n v="328.5"/>
    <x v="0"/>
    <x v="0"/>
    <n v="17"/>
    <n v="0"/>
    <n v="5.4574638844301769E-2"/>
    <n v="5.5373342670185366"/>
    <n v="5.7945368379246656"/>
  </r>
  <r>
    <s v="MR287"/>
    <s v="P. blochii"/>
    <d v="2015-07-16T00:00:00"/>
    <n v="3"/>
    <n v="184"/>
    <n v="175"/>
    <n v="123"/>
    <x v="1"/>
    <x v="5"/>
    <n v="0.06"/>
    <n v="2"/>
    <n v="4.880429477794046E-4"/>
    <n v="5.2149357576089859"/>
    <n v="4.8121843553724171"/>
  </r>
  <r>
    <s v="MR287"/>
    <s v="P. blochii"/>
    <d v="2014-06-16T00:00:00"/>
    <n v="2"/>
    <n v="246"/>
    <n v="226"/>
    <n v="332.9"/>
    <x v="1"/>
    <x v="0"/>
    <n v="24.8"/>
    <n v="1"/>
    <n v="8.0493346316131142E-2"/>
    <n v="5.5053315359323625"/>
    <n v="5.8078421445809791"/>
  </r>
  <r>
    <s v="MR288"/>
    <s v="P. blochii"/>
    <d v="2015-07-26T00:00:00"/>
    <n v="3"/>
    <n v="172"/>
    <n v="147"/>
    <n v="95.2"/>
    <x v="1"/>
    <x v="5"/>
    <n v="0.11"/>
    <n v="3"/>
    <n v="1.1567988221684719E-3"/>
    <n v="5.1474944768134527"/>
    <n v="4.5559799417973199"/>
  </r>
  <r>
    <s v="MR288"/>
    <s v="P. blochii"/>
    <d v="2014-01-23T00:00:00"/>
    <n v="1"/>
    <n v="264"/>
    <n v="241"/>
    <n v="398"/>
    <x v="0"/>
    <x v="0"/>
    <n v="6.5"/>
    <n v="2"/>
    <n v="1.6602809706257982E-2"/>
    <n v="5.575949103146316"/>
    <n v="5.9864520052844377"/>
  </r>
  <r>
    <s v="MR289"/>
    <s v="P. blochii"/>
    <d v="2015-07-26T00:00:00"/>
    <n v="3"/>
    <n v="172"/>
    <n v="158"/>
    <n v="119.6"/>
    <x v="1"/>
    <x v="4"/>
    <n v="0.19"/>
    <n v="3"/>
    <n v="1.5911565195544763E-3"/>
    <n v="5.1474944768134527"/>
    <n v="4.7841528415165318"/>
  </r>
  <r>
    <s v="MR289"/>
    <s v="P. blochii"/>
    <d v="2014-01-23T00:00:00"/>
    <n v="1"/>
    <n v="251"/>
    <n v="230"/>
    <n v="349"/>
    <x v="1"/>
    <x v="5"/>
    <n v="0.1"/>
    <n v="1"/>
    <n v="2.8661507595299519E-4"/>
    <n v="5.5254529391317835"/>
    <n v="5.855071922202427"/>
  </r>
  <r>
    <s v="MR290"/>
    <s v="P. blochii"/>
    <d v="2014-07-26T00:00:00"/>
    <n v="3"/>
    <n v="175"/>
    <n v="162"/>
    <n v="115"/>
    <x v="0"/>
    <x v="5"/>
    <n v="0.24"/>
    <n v="2"/>
    <n v="2.0913210177762286E-3"/>
    <n v="5.1647859739235145"/>
    <n v="4.7449321283632502"/>
  </r>
  <r>
    <s v="MR291"/>
    <s v="P. blochii"/>
    <d v="2015-07-26T00:00:00"/>
    <n v="3"/>
    <n v="190"/>
    <n v="170"/>
    <n v="109.5"/>
    <x v="0"/>
    <x v="4"/>
    <n v="0.28000000000000003"/>
    <n v="1"/>
    <n v="2.5636330342428131E-3"/>
    <n v="5.2470240721604862"/>
    <n v="4.6959245492565556"/>
  </r>
  <r>
    <s v="MR291"/>
    <s v="P. blochii"/>
    <d v="2014-03-29T00:00:00"/>
    <n v="1"/>
    <n v="190"/>
    <n v="170"/>
    <n v="139"/>
    <x v="0"/>
    <x v="4"/>
    <n v="0.5"/>
    <n v="2"/>
    <n v="3.6101083032490976E-3"/>
    <n v="5.2470240721604862"/>
    <n v="4.9344739331306915"/>
  </r>
  <r>
    <s v="MR292"/>
    <s v="P. blochii"/>
    <d v="2015-07-26T00:00:00"/>
    <n v="3"/>
    <n v="174"/>
    <n v="161"/>
    <n v="120"/>
    <x v="1"/>
    <x v="4"/>
    <n v="0.15"/>
    <n v="1"/>
    <n v="1.2515644555694619E-3"/>
    <n v="5.1590552992145291"/>
    <n v="4.7874917427820458"/>
  </r>
  <r>
    <s v="MR292"/>
    <s v="P. blochii"/>
    <d v="2014-03-29T00:00:00"/>
    <n v="1"/>
    <n v="211"/>
    <n v="199"/>
    <n v="217.5"/>
    <x v="0"/>
    <x v="4"/>
    <n v="8.5"/>
    <n v="1"/>
    <n v="4.0669856459330141E-2"/>
    <n v="5.3518581334760666"/>
    <n v="5.3821988505287388"/>
  </r>
  <r>
    <s v="MR293"/>
    <s v="P. blochii"/>
    <d v="2015-07-26T00:00:00"/>
    <n v="3"/>
    <n v="162"/>
    <n v="148"/>
    <n v="84.5"/>
    <x v="1"/>
    <x v="5"/>
    <n v="0.15"/>
    <n v="2"/>
    <n v="1.7783046828689982E-3"/>
    <n v="5.0875963352323836"/>
    <n v="4.4367515343631281"/>
  </r>
  <r>
    <s v="MR293"/>
    <s v="P. blochii"/>
    <d v="2014-06-16T00:00:00"/>
    <n v="2"/>
    <n v="265"/>
    <n v="245"/>
    <n v="342"/>
    <x v="1"/>
    <x v="0"/>
    <n v="20.9"/>
    <n v="1"/>
    <n v="6.508875739644969E-2"/>
    <n v="5.579729825986222"/>
    <n v="5.8348107370626048"/>
  </r>
  <r>
    <s v="MR294"/>
    <s v="P. blochii"/>
    <d v="2014-06-16T00:00:00"/>
    <n v="2"/>
    <n v="260"/>
    <n v="225"/>
    <n v="268"/>
    <x v="0"/>
    <x v="0"/>
    <n v="11"/>
    <n v="0"/>
    <n v="4.2801556420233464E-2"/>
    <n v="5.5606816310155276"/>
    <n v="5.5909869805108565"/>
  </r>
  <r>
    <s v="MR295"/>
    <s v="P. blochii"/>
    <d v="2014-05-16T00:00:00"/>
    <n v="2"/>
    <n v="250"/>
    <n v="205"/>
    <n v="370.5"/>
    <x v="1"/>
    <x v="0"/>
    <n v="22.5"/>
    <n v="1"/>
    <n v="6.4655172413793108E-2"/>
    <n v="5.521460917862246"/>
    <n v="5.9148534447361412"/>
  </r>
  <r>
    <s v="MR296"/>
    <s v="P. blochii"/>
    <d v="2014-07-26T00:00:00"/>
    <n v="3"/>
    <n v="180"/>
    <n v="170"/>
    <n v="123"/>
    <x v="0"/>
    <x v="4"/>
    <n v="0.23"/>
    <n v="3"/>
    <n v="1.8734218457277837E-3"/>
    <n v="5.1929568508902104"/>
    <n v="4.8121843553724171"/>
  </r>
  <r>
    <s v="MR296"/>
    <s v="P. blochii"/>
    <d v="2014-04-29T00:00:00"/>
    <n v="2"/>
    <n v="212"/>
    <n v="195"/>
    <n v="195.2"/>
    <x v="1"/>
    <x v="7"/>
    <n v="4"/>
    <n v="1"/>
    <n v="2.0920502092050212E-2"/>
    <n v="5.3565862746720123"/>
    <n v="5.2740246739789924"/>
  </r>
  <r>
    <s v="MR297"/>
    <s v="P. blochii"/>
    <d v="2015-07-26T00:00:00"/>
    <n v="3"/>
    <n v="170"/>
    <m/>
    <n v="129.9"/>
    <x v="0"/>
    <x v="5"/>
    <n v="0.1"/>
    <n v="2"/>
    <n v="7.7041602465331282E-4"/>
    <n v="5.1357984370502621"/>
    <n v="4.8667649236765538"/>
  </r>
  <r>
    <s v="MR305"/>
    <s v="P. blochii"/>
    <d v="2016-03-18T00:00:00"/>
    <n v="1"/>
    <n v="197"/>
    <n v="180"/>
    <n v="167"/>
    <x v="0"/>
    <x v="5"/>
    <n v="0"/>
    <n v="0"/>
    <n v="0"/>
    <n v="5.2832037287379885"/>
    <n v="5.1179938124167554"/>
  </r>
  <r>
    <s v="MR306"/>
    <s v="P. blochii"/>
    <d v="2016-03-18T00:00:00"/>
    <n v="1"/>
    <n v="217"/>
    <n v="174"/>
    <n v="208"/>
    <x v="0"/>
    <x v="4"/>
    <n v="1"/>
    <n v="2"/>
    <n v="4.830917874396135E-3"/>
    <n v="5.3798973535404597"/>
    <n v="5.3375380797013179"/>
  </r>
  <r>
    <s v="MR308"/>
    <s v="P. blochii"/>
    <d v="2016-03-18T00:00:00"/>
    <n v="1"/>
    <n v="204"/>
    <n v="187"/>
    <n v="162"/>
    <x v="0"/>
    <x v="4"/>
    <n v="0.01"/>
    <n v="2"/>
    <n v="6.1732205691709363E-5"/>
    <n v="5.3181199938442161"/>
    <n v="5.0875963352323836"/>
  </r>
  <r>
    <s v="MR309"/>
    <s v="P. blochii"/>
    <d v="2016-03-18T00:00:00"/>
    <n v="1"/>
    <n v="225"/>
    <n v="206"/>
    <n v="208"/>
    <x v="0"/>
    <x v="5"/>
    <n v="0.7"/>
    <n v="2"/>
    <n v="3.3767486734201635E-3"/>
    <n v="5.4161004022044201"/>
    <n v="5.3375380797013179"/>
  </r>
  <r>
    <s v="MR310"/>
    <s v="P. blochii"/>
    <d v="2016-03-18T00:00:00"/>
    <n v="1"/>
    <n v="149"/>
    <n v="128"/>
    <n v="63"/>
    <x v="3"/>
    <x v="5"/>
    <n v="0.4"/>
    <n v="1"/>
    <n v="6.3897763578274766E-3"/>
    <n v="5.0039463059454592"/>
    <n v="4.1431347263915326"/>
  </r>
  <r>
    <s v="MR311"/>
    <s v="P. blochii"/>
    <d v="2016-03-18T00:00:00"/>
    <n v="1"/>
    <n v="273"/>
    <n v="249"/>
    <n v="415"/>
    <x v="1"/>
    <x v="0"/>
    <n v="29.5"/>
    <n v="2"/>
    <n v="7.6523994811932561E-2"/>
    <n v="5.6094717951849598"/>
    <n v="6.0282785202306979"/>
  </r>
  <r>
    <s v="MR313"/>
    <s v="P. blochii"/>
    <d v="2016-04-27T00:00:00"/>
    <n v="2"/>
    <n v="196"/>
    <n v="184"/>
    <n v="150"/>
    <x v="0"/>
    <x v="4"/>
    <n v="1"/>
    <n v="1"/>
    <n v="6.7114093959731542E-3"/>
    <n v="5.2781146592305168"/>
    <n v="5.0106352940962555"/>
  </r>
  <r>
    <s v="MR315"/>
    <s v="P. blochii"/>
    <d v="2016-05-30T00:00:00"/>
    <n v="2"/>
    <n v="205"/>
    <n v="190"/>
    <n v="185"/>
    <x v="0"/>
    <x v="4"/>
    <n v="1"/>
    <n v="1"/>
    <n v="5.434782608695652E-3"/>
    <n v="5.3230099791384085"/>
    <n v="5.2203558250783244"/>
  </r>
  <r>
    <s v="MR316"/>
    <s v="P. blochii"/>
    <d v="2016-05-30T00:00:00"/>
    <n v="2"/>
    <n v="225"/>
    <n v="208"/>
    <n v="233"/>
    <x v="1"/>
    <x v="2"/>
    <n v="10"/>
    <n v="0"/>
    <n v="4.4843049327354258E-2"/>
    <n v="5.4161004022044201"/>
    <n v="5.4510384535657002"/>
  </r>
  <r>
    <s v="MR317"/>
    <s v="P. blochii"/>
    <d v="2016-05-30T00:00:00"/>
    <n v="2"/>
    <n v="215"/>
    <n v="197"/>
    <n v="189"/>
    <x v="1"/>
    <x v="0"/>
    <n v="4.5"/>
    <n v="1"/>
    <n v="2.4390243902439025E-2"/>
    <n v="5.3706380281276624"/>
    <n v="5.2417470150596426"/>
  </r>
  <r>
    <s v="MR317"/>
    <s v="P. blochii"/>
    <d v="2016-03-18T00:00:00"/>
    <n v="1"/>
    <n v="261"/>
    <n v="240"/>
    <n v="380"/>
    <x v="1"/>
    <x v="0"/>
    <n v="15"/>
    <n v="2"/>
    <n v="4.1095890410958902E-2"/>
    <n v="5.5645204073226937"/>
    <n v="5.9401712527204316"/>
  </r>
  <r>
    <s v="MR318"/>
    <s v="P. blochii"/>
    <d v="2016-05-30T00:00:00"/>
    <n v="2"/>
    <n v="193"/>
    <n v="169"/>
    <n v="146"/>
    <x v="1"/>
    <x v="4"/>
    <n v="0"/>
    <n v="0"/>
    <n v="0"/>
    <n v="5.2626901889048856"/>
    <n v="4.9836066217083363"/>
  </r>
  <r>
    <s v="MR320"/>
    <s v="P. blochii"/>
    <d v="2016-06-22T00:00:00"/>
    <n v="2"/>
    <n v="298"/>
    <n v="261"/>
    <n v="492"/>
    <x v="1"/>
    <x v="0"/>
    <n v="38.5"/>
    <n v="1"/>
    <n v="8.4895259095920619E-2"/>
    <n v="5.6970934865054046"/>
    <n v="6.1984787164923079"/>
  </r>
  <r>
    <s v="MR321"/>
    <s v="P. blochii"/>
    <d v="2016-06-22T00:00:00"/>
    <n v="2"/>
    <n v="228"/>
    <n v="222"/>
    <n v="243"/>
    <x v="1"/>
    <x v="1"/>
    <n v="0.5"/>
    <n v="1"/>
    <n v="2.0618556701030928E-3"/>
    <n v="5.4293456289544411"/>
    <n v="5.4930614433405482"/>
  </r>
  <r>
    <s v="MR322"/>
    <s v="P. blochii"/>
    <d v="2016-06-22T00:00:00"/>
    <n v="2"/>
    <n v="303"/>
    <n v="283"/>
    <n v="557"/>
    <x v="0"/>
    <x v="3"/>
    <n v="28"/>
    <n v="1"/>
    <n v="5.2930056710775046E-2"/>
    <n v="5.7137328055093688"/>
    <n v="6.3225652399272843"/>
  </r>
  <r>
    <s v="MR323"/>
    <s v="P. blochii"/>
    <d v="2015-04-19T00:00:00"/>
    <n v="2"/>
    <n v="280"/>
    <n v="246"/>
    <n v="437"/>
    <x v="1"/>
    <x v="2"/>
    <n v="21.5"/>
    <n v="1"/>
    <n v="5.1744885679903728E-2"/>
    <n v="5.6347896031692493"/>
    <n v="6.0799331950955899"/>
  </r>
  <r>
    <s v="MR324"/>
    <s v="P. blochii"/>
    <d v="2016-06-22T00:00:00"/>
    <n v="2"/>
    <n v="210"/>
    <n v="169"/>
    <n v="177"/>
    <x v="0"/>
    <x v="4"/>
    <n v="1.5"/>
    <n v="2"/>
    <n v="8.5470085470085479E-3"/>
    <n v="5.3471075307174685"/>
    <n v="5.1761497325738288"/>
  </r>
  <r>
    <s v="MR325"/>
    <s v="P. blochii"/>
    <d v="2015-04-19T00:00:00"/>
    <n v="2"/>
    <n v="227"/>
    <n v="184"/>
    <n v="244"/>
    <x v="0"/>
    <x v="2"/>
    <n v="14.5"/>
    <n v="0"/>
    <n v="6.3180827886710242E-2"/>
    <n v="5.4249500174814029"/>
    <n v="5.4971682252932021"/>
  </r>
  <r>
    <s v="MR327"/>
    <s v="P. blochii"/>
    <d v="2016-05-30T00:00:00"/>
    <n v="2"/>
    <n v="309"/>
    <n v="280"/>
    <n v="638"/>
    <x v="0"/>
    <x v="2"/>
    <n v="47"/>
    <n v="1"/>
    <n v="7.952622673434856E-2"/>
    <n v="5.7333412768977459"/>
    <n v="6.4583382833447898"/>
  </r>
  <r>
    <s v="MR328"/>
    <s v="P. blochii"/>
    <d v="2016-06-22T00:00:00"/>
    <n v="2"/>
    <n v="174"/>
    <n v="156"/>
    <n v="96"/>
    <x v="0"/>
    <x v="4"/>
    <n v="0.01"/>
    <n v="1"/>
    <n v="1.0417751849150954E-4"/>
    <n v="5.1590552992145291"/>
    <n v="4.5643481914678361"/>
  </r>
  <r>
    <s v="MR329"/>
    <s v="P. blochii"/>
    <d v="2016-06-22T00:00:00"/>
    <n v="2"/>
    <n v="150"/>
    <n v="135"/>
    <n v="65"/>
    <x v="3"/>
    <x v="5"/>
    <n v="0.2"/>
    <n v="2"/>
    <n v="3.08641975308642E-3"/>
    <n v="5.0106352940962555"/>
    <n v="4.1743872698956368"/>
  </r>
  <r>
    <s v="MR329"/>
    <s v="P. blochii"/>
    <d v="2016-06-22T00:00:00"/>
    <n v="2"/>
    <n v="171"/>
    <n v="157"/>
    <n v="91"/>
    <x v="0"/>
    <x v="5"/>
    <n v="0.1"/>
    <n v="0"/>
    <n v="1.1001100110011001E-3"/>
    <n v="5.1416635565026603"/>
    <n v="4.5108595065168497"/>
  </r>
  <r>
    <s v="MR330"/>
    <s v="P. blochii"/>
    <d v="2016-06-22T00:00:00"/>
    <n v="2"/>
    <n v="230"/>
    <n v="211"/>
    <n v="241"/>
    <x v="0"/>
    <x v="4"/>
    <n v="1.5"/>
    <n v="2"/>
    <n v="6.2630480167014616E-3"/>
    <n v="5.4380793089231956"/>
    <n v="5.4847969334906548"/>
  </r>
  <r>
    <s v="MR331"/>
    <s v="P. blochii"/>
    <d v="2016-06-22T00:00:00"/>
    <n v="2"/>
    <n v="165"/>
    <n v="150"/>
    <n v="93"/>
    <x v="1"/>
    <x v="5"/>
    <n v="0"/>
    <n v="2"/>
    <n v="0"/>
    <n v="5.1059454739005803"/>
    <n v="4.5325994931532563"/>
  </r>
  <r>
    <s v="MR332"/>
    <s v="P. blochii"/>
    <d v="2016-06-22T00:00:00"/>
    <n v="2"/>
    <n v="152"/>
    <n v="142"/>
    <n v="74"/>
    <x v="0"/>
    <x v="5"/>
    <n v="0.2"/>
    <n v="0"/>
    <n v="2.7100271002710031E-3"/>
    <n v="5.0238805208462765"/>
    <n v="4.3040650932041702"/>
  </r>
  <r>
    <s v="MR333"/>
    <s v="P. blochii"/>
    <d v="2015-04-19T00:00:00"/>
    <n v="2"/>
    <n v="280"/>
    <n v="259"/>
    <n v="485"/>
    <x v="0"/>
    <x v="0"/>
    <n v="29"/>
    <n v="2"/>
    <n v="6.3596491228070179E-2"/>
    <n v="5.6347896031692493"/>
    <n v="6.1841488909374833"/>
  </r>
  <r>
    <s v="MR334"/>
    <s v="P. blochii"/>
    <d v="2015-04-19T00:00:00"/>
    <n v="2"/>
    <n v="284"/>
    <n v="265"/>
    <n v="545.5"/>
    <x v="0"/>
    <x v="2"/>
    <n v="32.5"/>
    <n v="1"/>
    <n v="6.3352826510721244E-2"/>
    <n v="5.6489742381612063"/>
    <n v="6.3017028052731252"/>
  </r>
  <r>
    <s v="MR335"/>
    <s v="P. blochii"/>
    <d v="2015-04-19T00:00:00"/>
    <n v="2"/>
    <n v="288"/>
    <n v="276"/>
    <n v="534"/>
    <x v="1"/>
    <x v="0"/>
    <n v="32"/>
    <n v="2"/>
    <n v="6.3745019920318724E-2"/>
    <n v="5.6629604801359461"/>
    <n v="6.280395838960195"/>
  </r>
  <r>
    <s v="MR336"/>
    <s v="P. blochii"/>
    <d v="2016-05-30T00:00:00"/>
    <n v="2"/>
    <n v="287"/>
    <n v="257"/>
    <n v="481"/>
    <x v="0"/>
    <x v="2"/>
    <n v="23"/>
    <n v="0"/>
    <n v="5.0218340611353711E-2"/>
    <n v="5.6594822157596214"/>
    <n v="6.1758672701057611"/>
  </r>
  <r>
    <s v="MR337"/>
    <s v="P. blochii"/>
    <d v="2016-05-30T00:00:00"/>
    <n v="2"/>
    <n v="257"/>
    <n v="238"/>
    <n v="327"/>
    <x v="1"/>
    <x v="0"/>
    <n v="14.5"/>
    <n v="1"/>
    <n v="4.6399999999999997E-2"/>
    <n v="5.5490760848952201"/>
    <n v="5.7899601708972535"/>
  </r>
  <r>
    <s v="MR338"/>
    <s v="P. blochii"/>
    <d v="2016-05-30T00:00:00"/>
    <n v="2"/>
    <n v="213"/>
    <n v="171"/>
    <n v="177"/>
    <x v="1"/>
    <x v="4"/>
    <n v="0"/>
    <n v="1"/>
    <n v="0"/>
    <n v="5.3612921657094255"/>
    <n v="5.1761497325738288"/>
  </r>
  <r>
    <s v="MR339"/>
    <s v="P. blochii"/>
    <d v="2016-05-30T00:00:00"/>
    <n v="2"/>
    <n v="201"/>
    <n v="185"/>
    <n v="184"/>
    <x v="1"/>
    <x v="1"/>
    <n v="2.5"/>
    <n v="1"/>
    <n v="1.3774104683195593E-2"/>
    <n v="5.3033049080590757"/>
    <n v="5.2149357576089859"/>
  </r>
  <r>
    <s v="MR340"/>
    <s v="P. blochii"/>
    <d v="2016-05-30T00:00:00"/>
    <n v="2"/>
    <n v="195"/>
    <n v="183"/>
    <n v="186.5"/>
    <x v="0"/>
    <x v="4"/>
    <n v="1"/>
    <n v="1"/>
    <n v="5.3908355795148251E-3"/>
    <n v="5.2729995585637468"/>
    <n v="5.2284312390838705"/>
  </r>
  <r>
    <s v="MR341"/>
    <s v="P. blochii"/>
    <d v="2016-05-30T00:00:00"/>
    <n v="2"/>
    <n v="218"/>
    <n v="171"/>
    <n v="202"/>
    <x v="0"/>
    <x v="1"/>
    <n v="7"/>
    <n v="0"/>
    <n v="3.5897435897435895E-2"/>
    <n v="5.3844950627890888"/>
    <n v="5.3082676974012051"/>
  </r>
  <r>
    <s v="MR342"/>
    <s v="P. blochii"/>
    <d v="2016-05-30T00:00:00"/>
    <n v="2"/>
    <n v="235"/>
    <n v="210"/>
    <n v="247"/>
    <x v="0"/>
    <x v="0"/>
    <n v="19"/>
    <n v="1"/>
    <n v="8.3333333333333329E-2"/>
    <n v="5.4595855141441589"/>
    <n v="5.5093883366279774"/>
  </r>
  <r>
    <s v="MR343"/>
    <s v="P. blochii"/>
    <d v="2016-05-30T00:00:00"/>
    <n v="2"/>
    <n v="230"/>
    <n v="205"/>
    <n v="253"/>
    <x v="0"/>
    <x v="4"/>
    <n v="1"/>
    <n v="1"/>
    <n v="3.968253968253968E-3"/>
    <n v="5.4380793089231956"/>
    <n v="5.5333894887275203"/>
  </r>
  <r>
    <s v="MR344"/>
    <s v="P. blochii"/>
    <d v="2013-09-30T00:00:00"/>
    <n v="3"/>
    <n v="275"/>
    <n v="253"/>
    <n v="535"/>
    <x v="1"/>
    <x v="2"/>
    <n v="53"/>
    <n v="0"/>
    <n v="0.10995850622406639"/>
    <n v="5.6167710976665717"/>
    <n v="6.2822667468960063"/>
  </r>
  <r>
    <s v="MR346"/>
    <s v="P. blochii"/>
    <d v="2016-04-27T00:00:00"/>
    <n v="2"/>
    <n v="203"/>
    <n v="187"/>
    <n v="177"/>
    <x v="0"/>
    <x v="4"/>
    <n v="1"/>
    <n v="1"/>
    <n v="5.681818181818182E-3"/>
    <n v="5.3132059790417872"/>
    <n v="5.1761497325738288"/>
  </r>
  <r>
    <s v="MR349"/>
    <s v="P. blochii"/>
    <d v="2016-04-27T00:00:00"/>
    <n v="2"/>
    <n v="250"/>
    <n v="208"/>
    <n v="329"/>
    <x v="1"/>
    <x v="2"/>
    <n v="9.5"/>
    <n v="2"/>
    <n v="2.9733959311424099E-2"/>
    <n v="5.521460917862246"/>
    <n v="5.7960577507653719"/>
  </r>
  <r>
    <s v="MR350"/>
    <s v="P. blochii"/>
    <d v="2016-04-27T00:00:00"/>
    <n v="2"/>
    <n v="281"/>
    <n v="255"/>
    <n v="512"/>
    <x v="0"/>
    <x v="3"/>
    <n v="46"/>
    <n v="0"/>
    <n v="9.8712446351931327E-2"/>
    <n v="5.6383546693337454"/>
    <n v="6.2383246250395077"/>
  </r>
  <r>
    <s v="MR351"/>
    <s v="P. blochii"/>
    <d v="2016-03-18T00:00:00"/>
    <n v="1"/>
    <n v="150"/>
    <n v="137"/>
    <n v="71"/>
    <x v="0"/>
    <x v="5"/>
    <n v="0.2"/>
    <n v="1"/>
    <n v="2.8248587570621473E-3"/>
    <n v="5.0106352940962555"/>
    <n v="4.2626798770413155"/>
  </r>
  <r>
    <s v="MR352"/>
    <s v="P. blochii"/>
    <d v="2016-03-18T00:00:00"/>
    <n v="1"/>
    <n v="155"/>
    <n v="149"/>
    <n v="83.5"/>
    <x v="3"/>
    <x v="5"/>
    <n v="0.2"/>
    <n v="2"/>
    <n v="2.4009603841536617E-3"/>
    <n v="5.0434251169192468"/>
    <n v="4.42484663185681"/>
  </r>
  <r>
    <s v="MR353"/>
    <s v="P. blochii"/>
    <d v="2016-03-18T00:00:00"/>
    <n v="1"/>
    <n v="140"/>
    <n v="131"/>
    <n v="57"/>
    <x v="1"/>
    <x v="5"/>
    <n v="0"/>
    <n v="1"/>
    <n v="0"/>
    <n v="4.9416424226093039"/>
    <n v="4.0430512678345503"/>
  </r>
  <r>
    <s v="MR354"/>
    <s v="P. blochii"/>
    <d v="2016-04-27T00:00:00"/>
    <n v="2"/>
    <n v="210"/>
    <n v="200"/>
    <n v="211"/>
    <x v="1"/>
    <x v="4"/>
    <n v="0"/>
    <n v="2"/>
    <n v="0"/>
    <n v="5.3471075307174685"/>
    <n v="5.3518581334760666"/>
  </r>
  <r>
    <s v="MR357"/>
    <s v="P. blochii"/>
    <d v="2016-04-27T00:00:00"/>
    <n v="2"/>
    <n v="223"/>
    <n v="209"/>
    <n v="255"/>
    <x v="1"/>
    <x v="0"/>
    <n v="1.5"/>
    <n v="2"/>
    <n v="5.9171597633136093E-3"/>
    <n v="5.4071717714601188"/>
    <n v="5.5412635451584258"/>
  </r>
  <r>
    <s v="MR358"/>
    <s v="P. blochii"/>
    <d v="2016-03-18T00:00:00"/>
    <n v="1"/>
    <n v="201"/>
    <n v="190"/>
    <n v="190"/>
    <x v="0"/>
    <x v="4"/>
    <n v="0.5"/>
    <n v="3"/>
    <n v="2.6385224274406332E-3"/>
    <n v="5.3033049080590757"/>
    <n v="5.2470240721604862"/>
  </r>
  <r>
    <s v="MR359"/>
    <s v="P. blochii"/>
    <d v="2016-03-18T00:00:00"/>
    <n v="1"/>
    <n v="205"/>
    <n v="185"/>
    <n v="185"/>
    <x v="0"/>
    <x v="4"/>
    <n v="1"/>
    <n v="3"/>
    <n v="5.434782608695652E-3"/>
    <n v="5.3230099791384085"/>
    <n v="5.2203558250783244"/>
  </r>
  <r>
    <s v="MR360"/>
    <s v="P. blochii"/>
    <d v="2016-03-18T00:00:00"/>
    <n v="1"/>
    <n v="208"/>
    <n v="174"/>
    <n v="216"/>
    <x v="1"/>
    <x v="5"/>
    <n v="0.1"/>
    <n v="3"/>
    <n v="4.6317739694302917E-4"/>
    <n v="5.3375380797013179"/>
    <n v="5.3752784076841653"/>
  </r>
  <r>
    <s v="MR361"/>
    <s v="P. blochii"/>
    <d v="2016-06-22T00:00:00"/>
    <n v="2"/>
    <n v="284"/>
    <n v="260"/>
    <n v="420"/>
    <x v="1"/>
    <x v="1"/>
    <n v="8"/>
    <n v="1"/>
    <n v="1.9417475728155338E-2"/>
    <n v="5.6489742381612063"/>
    <n v="6.0402547112774139"/>
  </r>
  <r>
    <s v="MR362"/>
    <s v="P. blochii"/>
    <d v="2016-06-22T00:00:00"/>
    <n v="2"/>
    <n v="280"/>
    <n v="260"/>
    <n v="433.5"/>
    <x v="1"/>
    <x v="2"/>
    <n v="28"/>
    <n v="1"/>
    <n v="6.9050554870530204E-2"/>
    <n v="5.6347896031692493"/>
    <n v="6.0718917962205969"/>
  </r>
  <r>
    <s v="MR363"/>
    <s v="P. blochii"/>
    <d v="2016-06-22T00:00:00"/>
    <n v="2"/>
    <n v="176"/>
    <n v="161"/>
    <n v="104"/>
    <x v="1"/>
    <x v="4"/>
    <n v="0"/>
    <n v="1"/>
    <n v="0"/>
    <n v="5.1704839950381514"/>
    <n v="4.6443908991413725"/>
  </r>
  <r>
    <s v="MR364"/>
    <s v="P. blochii"/>
    <d v="2016-06-22T00:00:00"/>
    <n v="2"/>
    <n v="165"/>
    <n v="155"/>
    <n v="100"/>
    <x v="1"/>
    <x v="4"/>
    <n v="0"/>
    <n v="2"/>
    <n v="0"/>
    <n v="5.1059454739005803"/>
    <n v="4.6051701859880918"/>
  </r>
  <r>
    <s v="MR365"/>
    <s v="P. blochii"/>
    <d v="2016-03-18T00:00:00"/>
    <n v="1"/>
    <n v="258"/>
    <n v="237"/>
    <n v="350"/>
    <x v="1"/>
    <x v="4"/>
    <n v="1.5"/>
    <n v="1"/>
    <n v="4.30416068866571E-3"/>
    <n v="5.5529595849216173"/>
    <n v="5.857933154483459"/>
  </r>
  <r>
    <s v="MR366"/>
    <s v="P. blochii"/>
    <d v="2016-03-18T00:00:00"/>
    <n v="1"/>
    <n v="169"/>
    <n v="154"/>
    <n v="96"/>
    <x v="0"/>
    <x v="4"/>
    <n v="0.2"/>
    <n v="0"/>
    <n v="2.0876826722338207E-3"/>
    <n v="5.1298987149230735"/>
    <n v="4.5643481914678361"/>
  </r>
  <r>
    <s v="MR367"/>
    <s v="P. blochii"/>
    <d v="2012-07-19T00:00:00"/>
    <n v="3"/>
    <n v="192"/>
    <n v="177"/>
    <n v="151"/>
    <x v="0"/>
    <x v="4"/>
    <n v="0.2"/>
    <n v="1"/>
    <n v="1.3262599469496021E-3"/>
    <n v="5.2574953720277815"/>
    <n v="5.0172798368149243"/>
  </r>
  <r>
    <s v="MR368"/>
    <s v="P. blochii"/>
    <d v="2016-03-18T00:00:00"/>
    <n v="1"/>
    <n v="206"/>
    <n v="190"/>
    <n v="181"/>
    <x v="0"/>
    <x v="4"/>
    <n v="0"/>
    <n v="2"/>
    <n v="0"/>
    <n v="5.3278761687895813"/>
    <n v="5.1984970312658261"/>
  </r>
  <r>
    <s v="MR369"/>
    <s v="P. blochii"/>
    <d v="2016-04-27T00:00:00"/>
    <n v="2"/>
    <n v="223"/>
    <n v="204"/>
    <n v="225"/>
    <x v="1"/>
    <x v="4"/>
    <n v="2.5"/>
    <n v="1"/>
    <n v="1.1235955056179775E-2"/>
    <n v="5.4071717714601188"/>
    <n v="5.4161004022044201"/>
  </r>
  <r>
    <s v="MR370"/>
    <s v="P. blochii"/>
    <d v="2016-04-27T00:00:00"/>
    <n v="2"/>
    <n v="198"/>
    <n v="182"/>
    <n v="165"/>
    <x v="1"/>
    <x v="5"/>
    <n v="0.05"/>
    <n v="2"/>
    <n v="3.0312215822976665E-4"/>
    <n v="5.2882670306945352"/>
    <n v="5.1059454739005803"/>
  </r>
  <r>
    <s v="MR371"/>
    <s v="P. blochii"/>
    <d v="2016-04-27T00:00:00"/>
    <n v="2"/>
    <n v="218"/>
    <n v="200"/>
    <n v="233"/>
    <x v="1"/>
    <x v="4"/>
    <n v="0"/>
    <n v="2"/>
    <n v="0"/>
    <n v="5.3844950627890888"/>
    <n v="5.4510384535657002"/>
  </r>
  <r>
    <s v="MR372"/>
    <s v="P. blochii"/>
    <d v="2016-04-27T00:00:00"/>
    <n v="2"/>
    <n v="197"/>
    <n v="184"/>
    <n v="157"/>
    <x v="0"/>
    <x v="4"/>
    <n v="7.6"/>
    <n v="2"/>
    <n v="5.0870147255689419E-2"/>
    <n v="5.2832037287379885"/>
    <n v="5.0562458053483077"/>
  </r>
  <r>
    <s v="MR374"/>
    <s v="P. blochii"/>
    <d v="2016-04-27T00:00:00"/>
    <n v="2"/>
    <n v="237"/>
    <n v="214"/>
    <n v="238"/>
    <x v="1"/>
    <x v="1"/>
    <n v="4"/>
    <n v="0"/>
    <n v="1.7094017094017096E-2"/>
    <n v="5.4680601411351315"/>
    <n v="5.472270673671475"/>
  </r>
  <r>
    <s v="MR375"/>
    <s v="P. blochii"/>
    <d v="2017-02-15T00:00:00"/>
    <n v="1"/>
    <n v="315"/>
    <n v="296"/>
    <n v="660"/>
    <x v="0"/>
    <x v="0"/>
    <s v="30.5"/>
    <n v="2"/>
    <n v="4.8451151707704525E-2"/>
    <n v="5.7525726388256331"/>
    <n v="6.4922398350204711"/>
  </r>
  <r>
    <s v="MR377"/>
    <s v="P. blochii"/>
    <d v="2017-03-21T00:00:00"/>
    <n v="1"/>
    <n v="310"/>
    <n v="290"/>
    <n v="549"/>
    <x v="0"/>
    <x v="0"/>
    <n v="11"/>
    <n v="0"/>
    <n v="2.0446096654275093E-2"/>
    <n v="5.7365722974791922"/>
    <n v="6.3080984415095305"/>
  </r>
  <r>
    <s v="MR378"/>
    <s v="P. blochii"/>
    <d v="2017-03-21T00:00:00"/>
    <n v="1"/>
    <n v="305"/>
    <n v="278"/>
    <n v="446.5"/>
    <x v="1"/>
    <x v="1"/>
    <s v="3.1"/>
    <n v="0"/>
    <n v="6.9914298601714032E-3"/>
    <n v="5.7203117766074119"/>
    <n v="6.1014394003165533"/>
  </r>
  <r>
    <s v="MR379"/>
    <s v="P. blochii"/>
    <d v="2017-03-21T00:00:00"/>
    <n v="1"/>
    <n v="278"/>
    <n v="259"/>
    <n v="354"/>
    <x v="0"/>
    <x v="1"/>
    <s v="7.2"/>
    <n v="0"/>
    <n v="2.0761245674740483E-2"/>
    <n v="5.6276211136906369"/>
    <n v="5.8692969131337742"/>
  </r>
  <r>
    <s v="MR380"/>
    <s v="P. blochii"/>
    <d v="2017-03-21T00:00:00"/>
    <n v="1"/>
    <n v="280"/>
    <n v="257"/>
    <n v="396.2"/>
    <x v="1"/>
    <x v="1"/>
    <s v="3.1"/>
    <n v="1"/>
    <n v="7.8860340880183167E-3"/>
    <n v="5.6347896031692493"/>
    <n v="5.9819191342644507"/>
  </r>
  <r>
    <s v="MR381"/>
    <s v="P. blochii"/>
    <d v="2017-02-15T00:00:00"/>
    <n v="1"/>
    <n v="301"/>
    <n v="279"/>
    <n v="551.5"/>
    <x v="0"/>
    <x v="3"/>
    <s v="21.9"/>
    <n v="1"/>
    <n v="4.1351963746223561E-2"/>
    <n v="5.7071102647488754"/>
    <n v="6.3126418386935574"/>
  </r>
  <r>
    <s v="MR382"/>
    <s v="P. blochii"/>
    <d v="2016-12-18T00:00:00"/>
    <n v="4"/>
    <n v="247"/>
    <n v="225"/>
    <n v="253"/>
    <x v="1"/>
    <x v="1"/>
    <s v="2.8"/>
    <n v="1"/>
    <n v="1.1191047162270184E-2"/>
    <n v="5.5093883366279774"/>
    <n v="5.5333894887275203"/>
  </r>
  <r>
    <s v="MR384"/>
    <s v="P. blochii"/>
    <d v="2017-03-21T00:00:00"/>
    <n v="1"/>
    <n v="294"/>
    <n v="266"/>
    <n v="467.5"/>
    <x v="1"/>
    <x v="1"/>
    <n v="7"/>
    <n v="2"/>
    <n v="1.5200868621064061E-2"/>
    <n v="5.6835797673386814"/>
    <n v="6.1473993487287419"/>
  </r>
  <r>
    <s v="MR385"/>
    <s v="P. blochii"/>
    <d v="2017-03-21T00:00:00"/>
    <n v="1"/>
    <n v="264"/>
    <n v="244"/>
    <n v="343.4"/>
    <x v="1"/>
    <x v="2"/>
    <s v="2.4"/>
    <n v="1"/>
    <n v="7.0381231671554252E-3"/>
    <n v="5.575949103146316"/>
    <n v="5.8388959484633753"/>
  </r>
  <r>
    <s v="MR386"/>
    <s v="P. blochii"/>
    <d v="2017-03-21T00:00:00"/>
    <n v="1"/>
    <n v="230"/>
    <n v="200"/>
    <n v="249"/>
    <x v="1"/>
    <x v="1"/>
    <s v="1.9"/>
    <n v="1"/>
    <n v="7.6891946580331851E-3"/>
    <n v="5.4380793089231956"/>
    <n v="5.5174528964647074"/>
  </r>
  <r>
    <s v="MR387"/>
    <s v="P. blochii"/>
    <d v="2017-02-15T00:00:00"/>
    <n v="1"/>
    <n v="241"/>
    <n v="217"/>
    <n v="275"/>
    <x v="1"/>
    <x v="5"/>
    <n v="0.05"/>
    <n v="2"/>
    <n v="1.8185124568103294E-4"/>
    <n v="5.4847969334906548"/>
    <n v="5.6167710976665717"/>
  </r>
  <r>
    <s v="MR388"/>
    <s v="P. blochii"/>
    <d v="2017-02-15T00:00:00"/>
    <n v="1"/>
    <n v="301"/>
    <n v="279"/>
    <n v="611"/>
    <x v="0"/>
    <x v="0"/>
    <s v="13.5"/>
    <n v="2"/>
    <n v="2.2594142259414227E-2"/>
    <n v="5.7071102647488754"/>
    <n v="6.4150969591715956"/>
  </r>
  <r>
    <s v="MR389"/>
    <s v="P. blochii"/>
    <d v="2017-07-06T00:00:00"/>
    <n v="3"/>
    <n v="281"/>
    <n v="252"/>
    <n v="425.5"/>
    <x v="0"/>
    <x v="2"/>
    <s v="19.5"/>
    <n v="1"/>
    <n v="4.8029556650246302E-2"/>
    <n v="5.6383546693337454"/>
    <n v="6.0532649480134291"/>
  </r>
  <r>
    <s v="MR390"/>
    <s v="P. blochii"/>
    <d v="2017-07-06T00:00:00"/>
    <n v="3"/>
    <n v="276"/>
    <n v="254"/>
    <n v="395"/>
    <x v="1"/>
    <x v="3"/>
    <s v="29.5"/>
    <n v="1"/>
    <n v="8.0711354309165526E-2"/>
    <n v="5.6204008657171496"/>
    <n v="5.978885764901122"/>
  </r>
  <r>
    <s v="MR391"/>
    <s v="P. blochii"/>
    <d v="2017-07-06T00:00:00"/>
    <n v="3"/>
    <n v="285"/>
    <n v="260"/>
    <n v="421.5"/>
    <x v="0"/>
    <x v="2"/>
    <n v="18"/>
    <n v="0"/>
    <n v="4.4609665427509292E-2"/>
    <n v="5.6524891802686508"/>
    <n v="6.04381977744191"/>
  </r>
  <r>
    <s v="MR392"/>
    <s v="P. blochii"/>
    <d v="2016-10-26T00:00:00"/>
    <n v="4"/>
    <n v="274"/>
    <n v="252"/>
    <n v="378"/>
    <x v="0"/>
    <x v="7"/>
    <s v="13.6"/>
    <n v="1"/>
    <n v="3.7321624588364438E-2"/>
    <n v="5.6131281063880705"/>
    <n v="5.934894195619588"/>
  </r>
  <r>
    <s v="MR393"/>
    <s v="P. blochii"/>
    <d v="2017-10-26T00:00:00"/>
    <n v="4"/>
    <n v="240"/>
    <n v="215"/>
    <n v="253"/>
    <x v="0"/>
    <x v="5"/>
    <n v="0.05"/>
    <n v="2"/>
    <n v="1.9766752322593399E-4"/>
    <n v="5.4806389233419912"/>
    <n v="5.5333894887275203"/>
  </r>
  <r>
    <s v="MR395"/>
    <s v="P. blochii"/>
    <d v="2016-12-18T00:00:00"/>
    <n v="4"/>
    <n v="265"/>
    <n v="250"/>
    <n v="400"/>
    <x v="1"/>
    <x v="4"/>
    <s v="5.6"/>
    <n v="1"/>
    <n v="1.4198782961460446E-2"/>
    <n v="5.579729825986222"/>
    <n v="5.9914645471079817"/>
  </r>
  <r>
    <s v="MR396"/>
    <s v="P. blochii"/>
    <d v="2017-02-15T00:00:00"/>
    <n v="1"/>
    <n v="283"/>
    <n v="251"/>
    <n v="471"/>
    <x v="0"/>
    <x v="1"/>
    <s v="7.5"/>
    <n v="1"/>
    <n v="1.6181229773462782E-2"/>
    <n v="5.6454468976432377"/>
    <n v="6.1548580940164177"/>
  </r>
  <r>
    <s v="MR397"/>
    <s v="P. blochii"/>
    <d v="2017-03-21T00:00:00"/>
    <n v="1"/>
    <n v="277"/>
    <n v="235"/>
    <n v="398.5"/>
    <x v="1"/>
    <x v="2"/>
    <s v="10.8"/>
    <n v="1"/>
    <n v="2.7856590147020896E-2"/>
    <n v="5.6240175061873385"/>
    <n v="5.9877074982302698"/>
  </r>
  <r>
    <s v="MR401"/>
    <s v="P. blochii"/>
    <d v="2017-03-21T00:00:00"/>
    <n v="1"/>
    <n v="235"/>
    <n v="213"/>
    <n v="257"/>
    <x v="0"/>
    <x v="4"/>
    <s v="4.5"/>
    <n v="0"/>
    <n v="1.782178217821782E-2"/>
    <n v="5.4595855141441589"/>
    <n v="5.5490760848952201"/>
  </r>
  <r>
    <s v="MR403"/>
    <s v="P. blochii"/>
    <d v="2015-05-01T00:00:00"/>
    <n v="2"/>
    <n v="272"/>
    <n v="260"/>
    <n v="439"/>
    <x v="1"/>
    <x v="2"/>
    <s v="21.7"/>
    <n v="1"/>
    <n v="5.2000958543014612E-2"/>
    <n v="5.6058020662959978"/>
    <n v="6.0844994130751715"/>
  </r>
  <r>
    <s v="MR406"/>
    <s v="P. blochii"/>
    <d v="2017-02-15T00:00:00"/>
    <n v="1"/>
    <n v="157"/>
    <n v="137"/>
    <n v="74.5"/>
    <x v="3"/>
    <x v="5"/>
    <n v="0.2"/>
    <n v="1"/>
    <n v="2.6917900403768511E-3"/>
    <n v="5.0562458053483077"/>
    <n v="4.3107991253855138"/>
  </r>
  <r>
    <s v="MR407"/>
    <s v="P. blochii"/>
    <d v="2016-10-26T00:00:00"/>
    <n v="4"/>
    <n v="136"/>
    <n v="128"/>
    <n v="50.5"/>
    <x v="0"/>
    <x v="5"/>
    <n v="0.2"/>
    <n v="0"/>
    <n v="3.976143141153082E-3"/>
    <n v="4.9126548857360524"/>
    <n v="3.9219733362813143"/>
  </r>
  <r>
    <s v="MR409"/>
    <s v="P. blochii"/>
    <d v="2016-12-18T00:00:00"/>
    <n v="4"/>
    <n v="202"/>
    <n v="183"/>
    <n v="156"/>
    <x v="0"/>
    <x v="4"/>
    <n v="1"/>
    <n v="1"/>
    <n v="6.4516129032258064E-3"/>
    <n v="5.3082676974012051"/>
    <n v="5.0498560072495371"/>
  </r>
  <r>
    <s v="MR410"/>
    <s v="P. blochii"/>
    <d v="2016-10-26T00:00:00"/>
    <n v="4"/>
    <n v="160"/>
    <n v="144"/>
    <n v="79"/>
    <x v="3"/>
    <x v="5"/>
    <n v="0.1"/>
    <n v="1"/>
    <n v="1.2674271229404308E-3"/>
    <n v="5.0751738152338266"/>
    <n v="4.3694478524670215"/>
  </r>
  <r>
    <s v="MR411"/>
    <s v="P. blochii"/>
    <d v="2016-10-26T00:00:00"/>
    <n v="4"/>
    <n v="223"/>
    <n v="201"/>
    <n v="229"/>
    <x v="1"/>
    <x v="5"/>
    <n v="0.3"/>
    <n v="2"/>
    <n v="1.3117621337997377E-3"/>
    <n v="5.4071717714601188"/>
    <n v="5.43372200355424"/>
  </r>
  <r>
    <s v="MR413"/>
    <s v="P. blochii"/>
    <d v="2017-02-15T00:00:00"/>
    <n v="1"/>
    <n v="195"/>
    <n v="174"/>
    <n v="153"/>
    <x v="0"/>
    <x v="4"/>
    <s v="0.8"/>
    <n v="0"/>
    <n v="5.2562417871222086E-3"/>
    <n v="5.2729995585637468"/>
    <n v="5.0304379213924353"/>
  </r>
  <r>
    <s v="MR414"/>
    <s v="P. blochii"/>
    <d v="2016-10-26T00:00:00"/>
    <n v="4"/>
    <n v="177"/>
    <n v="165"/>
    <n v="117.8"/>
    <x v="0"/>
    <x v="4"/>
    <s v="0.26"/>
    <n v="1"/>
    <n v="2.2120129317679091E-3"/>
    <n v="5.1761497325738288"/>
    <n v="4.768988271217486"/>
  </r>
  <r>
    <s v="MR415"/>
    <s v="P. blochii"/>
    <d v="2017-07-06T00:00:00"/>
    <n v="3"/>
    <n v="202"/>
    <n v="185"/>
    <n v="156"/>
    <x v="0"/>
    <x v="1"/>
    <n v="1"/>
    <n v="2"/>
    <n v="6.4516129032258064E-3"/>
    <n v="5.3082676974012051"/>
    <n v="5.0498560072495371"/>
  </r>
  <r>
    <s v="MR416"/>
    <s v="P. blochii"/>
    <d v="2017-07-06T00:00:00"/>
    <n v="3"/>
    <n v="204"/>
    <n v="186"/>
    <n v="171"/>
    <x v="1"/>
    <x v="1"/>
    <s v="0.8"/>
    <n v="1"/>
    <n v="4.7003525264394837E-3"/>
    <n v="5.3181199938442161"/>
    <n v="5.1416635565026603"/>
  </r>
  <r>
    <s v="MR417"/>
    <s v="P. blochii"/>
    <d v="2016-12-06T00:00:00"/>
    <n v="4"/>
    <n v="170"/>
    <n v="158"/>
    <n v="107"/>
    <x v="0"/>
    <x v="4"/>
    <s v="0.3"/>
    <n v="2"/>
    <n v="2.8116213683223989E-3"/>
    <n v="5.1357984370502621"/>
    <n v="4.6728288344619058"/>
  </r>
  <r>
    <s v="MR418"/>
    <s v="P. blochii"/>
    <d v="2017-03-21T00:00:00"/>
    <n v="1"/>
    <n v="221"/>
    <n v="202"/>
    <n v="208"/>
    <x v="0"/>
    <x v="1"/>
    <n v="4"/>
    <n v="1"/>
    <n v="1.9607843137254902E-2"/>
    <n v="5.3981627015177525"/>
    <n v="5.3375380797013179"/>
  </r>
  <r>
    <s v="MR419"/>
    <s v="P. blochii"/>
    <d v="2017-03-21T00:00:00"/>
    <n v="1"/>
    <n v="243"/>
    <n v="217"/>
    <n v="243.6"/>
    <x v="1"/>
    <x v="0"/>
    <s v="1.7"/>
    <n v="0"/>
    <n v="7.0276973956180239E-3"/>
    <n v="5.4930614433405482"/>
    <n v="5.4955275358357421"/>
  </r>
  <r>
    <s v="MR420"/>
    <s v="P. blochii"/>
    <d v="2016-12-06T00:00:00"/>
    <n v="4"/>
    <n v="180"/>
    <n v="172"/>
    <n v="127"/>
    <x v="3"/>
    <x v="5"/>
    <n v="0.1"/>
    <n v="2"/>
    <n v="7.8802206461780935E-4"/>
    <n v="5.1929568508902104"/>
    <n v="4.8441870864585912"/>
  </r>
  <r>
    <s v="MR421"/>
    <s v="P. blochii"/>
    <d v="2017-02-15T00:00:00"/>
    <n v="1"/>
    <n v="202"/>
    <n v="182"/>
    <n v="159"/>
    <x v="0"/>
    <x v="5"/>
    <n v="1"/>
    <n v="1"/>
    <n v="6.3291139240506328E-3"/>
    <n v="5.3082676974012051"/>
    <n v="5.0689042022202315"/>
  </r>
  <r>
    <s v="MR422"/>
    <s v="P. blochii"/>
    <d v="2017-02-15T00:00:00"/>
    <n v="1"/>
    <n v="213"/>
    <n v="195"/>
    <n v="136"/>
    <x v="1"/>
    <x v="4"/>
    <s v="0.5"/>
    <n v="0"/>
    <n v="3.6900369003690036E-3"/>
    <n v="5.3612921657094255"/>
    <n v="4.9126548857360524"/>
  </r>
  <r>
    <s v="MR423"/>
    <s v="P. blochii"/>
    <d v="2017-02-15T00:00:00"/>
    <n v="1"/>
    <n v="189"/>
    <n v="168"/>
    <n v="127"/>
    <x v="0"/>
    <x v="4"/>
    <s v="0.26"/>
    <n v="1"/>
    <n v="2.0514439008994796E-3"/>
    <n v="5.2417470150596426"/>
    <n v="4.8441870864585912"/>
  </r>
  <r>
    <s v="MR424"/>
    <s v="P. blochii"/>
    <d v="2016-12-18T00:00:00"/>
    <n v="4"/>
    <n v="188"/>
    <n v="174"/>
    <n v="138"/>
    <x v="0"/>
    <x v="5"/>
    <s v="0.9"/>
    <n v="0"/>
    <n v="6.5645514223194755E-3"/>
    <n v="5.2364419628299492"/>
    <n v="4.9272536851572051"/>
  </r>
  <r>
    <s v="MR425"/>
    <s v="P. blochii"/>
    <d v="2017-02-15T00:00:00"/>
    <n v="1"/>
    <n v="177"/>
    <n v="162"/>
    <n v="119"/>
    <x v="0"/>
    <x v="4"/>
    <n v="1"/>
    <n v="1"/>
    <n v="8.4745762711864406E-3"/>
    <n v="5.1761497325738288"/>
    <n v="4.7791234931115296"/>
  </r>
  <r>
    <s v="MR426"/>
    <s v="P. blochii"/>
    <d v="2017-10-26T00:00:00"/>
    <n v="4"/>
    <n v="175"/>
    <n v="156"/>
    <n v="98.5"/>
    <x v="0"/>
    <x v="4"/>
    <s v="0.1"/>
    <n v="1"/>
    <n v="1.0162601626016259E-3"/>
    <n v="5.1647859739235145"/>
    <n v="4.5900565481780431"/>
  </r>
  <r>
    <s v="MR428"/>
    <s v="P. blochii"/>
    <d v="2017-11-12T00:00:00"/>
    <n v="4"/>
    <n v="201"/>
    <n v="188"/>
    <n v="149.80000000000001"/>
    <x v="0"/>
    <x v="3"/>
    <n v="5.0999999999999996"/>
    <n v="1"/>
    <n v="3.5245335176226668E-2"/>
    <n v="5.3033049080590757"/>
    <n v="5.0093010710831196"/>
  </r>
  <r>
    <s v="MR429"/>
    <s v="P. blochii"/>
    <d v="2017-11-12T00:00:00"/>
    <n v="4"/>
    <n v="261"/>
    <n v="235"/>
    <n v="354.6"/>
    <x v="0"/>
    <x v="1"/>
    <n v="6.1"/>
    <n v="3"/>
    <n v="1.7503586800573886E-2"/>
    <n v="5.5645204073226937"/>
    <n v="5.870990393640108"/>
  </r>
  <r>
    <s v="MR430"/>
    <s v="P. blochii"/>
    <d v="2017-01-29T00:00:00"/>
    <n v="1"/>
    <n v="197"/>
    <n v="179"/>
    <n v="146.6"/>
    <x v="1"/>
    <x v="4"/>
    <n v="0.218"/>
    <n v="1"/>
    <n v="1.4892541432689811E-3"/>
    <n v="5.2832037287379885"/>
    <n v="4.9877077894525508"/>
  </r>
  <r>
    <s v="MR432"/>
    <s v="P. blochii"/>
    <d v="2017-12-29T00:00:00"/>
    <n v="4"/>
    <n v="180"/>
    <n v="160"/>
    <n v="109.6"/>
    <x v="1"/>
    <x v="5"/>
    <n v="0.26100000000000001"/>
    <n v="2"/>
    <n v="2.3870714017871024E-3"/>
    <n v="5.1929568508902104"/>
    <n v="4.6968373745139154"/>
  </r>
  <r>
    <s v="MR433"/>
    <s v="P. blochii"/>
    <d v="2017-03-29T00:00:00"/>
    <n v="1"/>
    <n v="185"/>
    <n v="172"/>
    <n v="132.1"/>
    <x v="0"/>
    <x v="4"/>
    <n v="0.87"/>
    <n v="2"/>
    <n v="6.6295816505372255E-3"/>
    <n v="5.2203558250783244"/>
    <n v="4.8835592115282793"/>
  </r>
  <r>
    <s v="MR434"/>
    <s v="P. blochii"/>
    <d v="2017-12-29T00:00:00"/>
    <n v="4"/>
    <n v="210"/>
    <n v="189"/>
    <n v="158.19999999999999"/>
    <x v="1"/>
    <x v="4"/>
    <n v="0.14599999999999999"/>
    <n v="2"/>
    <n v="9.2373492603793639E-4"/>
    <n v="5.3471075307174685"/>
    <n v="5.0638600553335538"/>
  </r>
  <r>
    <s v="MR435"/>
    <s v="P. blochii"/>
    <d v="2017-12-29T00:00:00"/>
    <n v="4"/>
    <n v="293"/>
    <n v="266"/>
    <n v="486.8"/>
    <x v="1"/>
    <x v="1"/>
    <n v="1.55"/>
    <n v="2"/>
    <n v="3.1942297784647092E-3"/>
    <n v="5.6801726090170677"/>
    <n v="6.1878533611133717"/>
  </r>
  <r>
    <s v="MR437"/>
    <s v="P. blochii"/>
    <d v="2017-12-29T00:00:00"/>
    <n v="4"/>
    <n v="209"/>
    <n v="193"/>
    <n v="211"/>
    <x v="1"/>
    <x v="4"/>
    <n v="0.1"/>
    <n v="2"/>
    <n v="4.74158368895211E-4"/>
    <n v="5.3423342519648109"/>
    <n v="5.3518581334760666"/>
  </r>
  <r>
    <s v="MR439"/>
    <s v="P. blochii"/>
    <d v="2018-04-07T00:00:00"/>
    <n v="2"/>
    <n v="193"/>
    <n v="179"/>
    <n v="141.80000000000001"/>
    <x v="1"/>
    <x v="1"/>
    <n v="0.83699999999999997"/>
    <n v="1"/>
    <n v="5.9377283400608655E-3"/>
    <n v="5.2626901889048856"/>
    <n v="4.9544176140980269"/>
  </r>
  <r>
    <s v="MR440"/>
    <s v="P. blochii"/>
    <d v="2018-04-07T00:00:00"/>
    <n v="2"/>
    <n v="207"/>
    <n v="191"/>
    <n v="172"/>
    <x v="1"/>
    <x v="0"/>
    <n v="0.36"/>
    <n v="1"/>
    <n v="2.0974131903985084E-3"/>
    <n v="5.3327187932653688"/>
    <n v="5.1474944768134527"/>
  </r>
  <r>
    <s v="MR441"/>
    <s v="P. blochii"/>
    <d v="2018-04-07T00:00:00"/>
    <n v="2"/>
    <n v="199"/>
    <n v="185"/>
    <n v="167"/>
    <x v="0"/>
    <x v="1"/>
    <n v="0.81299999999999994"/>
    <n v="2"/>
    <n v="4.8920794045262256E-3"/>
    <n v="5.2933048247244923"/>
    <n v="5.1179938124167554"/>
  </r>
  <r>
    <s v="MR442"/>
    <s v="P. blochii"/>
    <d v="2017-04-07T00:00:00"/>
    <n v="2"/>
    <n v="200"/>
    <n v="182"/>
    <n v="155.6"/>
    <x v="0"/>
    <x v="1"/>
    <n v="0.81"/>
    <n v="2"/>
    <n v="5.2328961819238977E-3"/>
    <n v="5.2983173665480363"/>
    <n v="5.0472886117442908"/>
  </r>
  <r>
    <s v="MR443"/>
    <s v="P. blochii"/>
    <d v="2018-04-07T00:00:00"/>
    <n v="2"/>
    <n v="172"/>
    <n v="160"/>
    <n v="110"/>
    <x v="1"/>
    <x v="4"/>
    <n v="0.20399999999999999"/>
    <n v="2"/>
    <n v="1.8579911836496773E-3"/>
    <n v="5.1474944768134527"/>
    <n v="4.7004803657924166"/>
  </r>
  <r>
    <s v="MR444"/>
    <s v="P. blochii"/>
    <d v="2018-04-07T00:00:00"/>
    <n v="2"/>
    <n v="308"/>
    <n v="279"/>
    <n v="636.6"/>
    <x v="0"/>
    <x v="0"/>
    <n v="36.090000000000003"/>
    <n v="1"/>
    <n v="6.009891592146676E-2"/>
    <n v="5.730099782973574"/>
    <n v="6.4561415148479924"/>
  </r>
  <r>
    <s v="MR445"/>
    <s v="P. blochii"/>
    <d v="2017-12-29T00:00:00"/>
    <n v="4"/>
    <n v="292"/>
    <n v="263"/>
    <n v="488.3"/>
    <x v="1"/>
    <x v="1"/>
    <n v="2.101"/>
    <n v="2"/>
    <n v="4.3212758561823449E-3"/>
    <n v="5.6767538022682817"/>
    <n v="6.1909299710676144"/>
  </r>
  <r>
    <s v="MR446"/>
    <s v="P. blochii"/>
    <d v="2018-07-21T00:00:00"/>
    <n v="3"/>
    <n v="310"/>
    <n v="295"/>
    <n v="680"/>
    <x v="0"/>
    <x v="3"/>
    <n v="18.54"/>
    <n v="1"/>
    <n v="2.8028905753938255E-2"/>
    <n v="5.7365722974791922"/>
    <n v="6.522092798170152"/>
  </r>
  <r>
    <s v="MR447"/>
    <s v="P. blochii"/>
    <d v="2018-04-07T00:00:00"/>
    <n v="2"/>
    <n v="260"/>
    <n v="240"/>
    <n v="369.3"/>
    <x v="1"/>
    <x v="4"/>
    <n v="1.925"/>
    <n v="3"/>
    <n v="5.2398775093569242E-3"/>
    <n v="5.5606816310155276"/>
    <n v="5.911609321858518"/>
  </r>
  <r>
    <s v="MR448"/>
    <s v="P. blochii"/>
    <d v="2018-07-21T00:00:00"/>
    <n v="3"/>
    <n v="286"/>
    <n v="259"/>
    <n v="481"/>
    <x v="1"/>
    <x v="0"/>
    <n v="2.0019999999999998"/>
    <n v="2"/>
    <n v="4.1795581609944087E-3"/>
    <n v="5.6559918108198524"/>
    <n v="6.1758672701057611"/>
  </r>
  <r>
    <s v="MR450"/>
    <s v="P. blochii"/>
    <d v="2018-04-07T00:00:00"/>
    <n v="2"/>
    <n v="215"/>
    <n v="190"/>
    <n v="232.6"/>
    <x v="0"/>
    <x v="5"/>
    <n v="0.89"/>
    <n v="3"/>
    <n v="3.8410081567476586E-3"/>
    <n v="5.3706380281276624"/>
    <n v="5.4493202400845639"/>
  </r>
  <r>
    <s v="MR451"/>
    <s v="P. blochii"/>
    <d v="2018-07-21T00:00:00"/>
    <n v="3"/>
    <n v="234"/>
    <n v="213"/>
    <n v="240.7"/>
    <x v="1"/>
    <x v="4"/>
    <n v="0.63600000000000001"/>
    <n v="0"/>
    <n v="2.6492935217275393E-3"/>
    <n v="5.4553211153577017"/>
    <n v="5.4835513447890261"/>
  </r>
  <r>
    <s v="MR452"/>
    <s v="P. blochii"/>
    <d v="2018-07-21T00:00:00"/>
    <n v="3"/>
    <n v="232"/>
    <n v="216"/>
    <n v="259.7"/>
    <x v="0"/>
    <x v="1"/>
    <n v="1.7"/>
    <n v="2"/>
    <n v="6.5891472868217053E-3"/>
    <n v="5.4467373716663099"/>
    <n v="5.5595271186687025"/>
  </r>
  <r>
    <s v="MR453"/>
    <s v="P. blochii"/>
    <d v="2018-07-21T00:00:00"/>
    <n v="3"/>
    <n v="226"/>
    <n v="204"/>
    <n v="227"/>
    <x v="0"/>
    <x v="4"/>
    <n v="1.4"/>
    <n v="2"/>
    <n v="6.2056737588652476E-3"/>
    <n v="5.4205349992722862"/>
    <n v="5.4249500174814029"/>
  </r>
  <r>
    <s v="MR455"/>
    <s v="P. blochii"/>
    <d v="2018-07-21T00:00:00"/>
    <n v="3"/>
    <n v="202"/>
    <n v="184"/>
    <n v="173.5"/>
    <x v="1"/>
    <x v="1"/>
    <n v="0.68100000000000005"/>
    <n v="1"/>
    <n v="3.9405389453705903E-3"/>
    <n v="5.3082676974012051"/>
    <n v="5.1561775993869139"/>
  </r>
  <r>
    <s v="MR456"/>
    <s v="P. blochii"/>
    <d v="2017-12-29T00:00:00"/>
    <n v="4"/>
    <n v="210"/>
    <n v="180"/>
    <n v="203"/>
    <x v="1"/>
    <x v="4"/>
    <n v="0.3"/>
    <n v="2"/>
    <n v="1.4800197335964481E-3"/>
    <n v="5.3471075307174685"/>
    <n v="5.3132059790417872"/>
  </r>
  <r>
    <s v="MR457"/>
    <s v="P. blochii"/>
    <d v="2018-07-21T00:00:00"/>
    <n v="3"/>
    <n v="241"/>
    <n v="217"/>
    <n v="268"/>
    <x v="1"/>
    <x v="3"/>
    <n v="18"/>
    <n v="0"/>
    <n v="7.1999999999999995E-2"/>
    <n v="5.4847969334906548"/>
    <n v="5.5909869805108565"/>
  </r>
  <r>
    <s v="MR458"/>
    <s v="P. blochii"/>
    <d v="2017-12-29T00:00:00"/>
    <n v="4"/>
    <n v="173"/>
    <n v="158"/>
    <n v="115"/>
    <x v="0"/>
    <x v="5"/>
    <n v="0.38500000000000001"/>
    <n v="1"/>
    <n v="3.3590716747371636E-3"/>
    <n v="5.1532915944977793"/>
    <n v="4.7449321283632502"/>
  </r>
  <r>
    <s v="MR459"/>
    <s v="P. blochii"/>
    <d v="2018-07-21T00:00:00"/>
    <n v="3"/>
    <n v="265"/>
    <n v="242"/>
    <n v="386.6"/>
    <x v="1"/>
    <x v="4"/>
    <n v="1.5"/>
    <n v="2"/>
    <n v="3.8950921838483508E-3"/>
    <n v="5.579729825986222"/>
    <n v="5.9573905667742304"/>
  </r>
  <r>
    <s v="MR460"/>
    <s v="P. blochii"/>
    <d v="2018-07-21T00:00:00"/>
    <n v="3"/>
    <n v="220"/>
    <n v="200"/>
    <n v="202.6"/>
    <x v="1"/>
    <x v="1"/>
    <n v="0.87"/>
    <n v="1"/>
    <n v="4.312695186635602E-3"/>
    <n v="5.393627546352362"/>
    <n v="5.3112335918145828"/>
  </r>
  <r>
    <s v="MR461"/>
    <s v="P. blochii"/>
    <d v="2018-07-21T00:00:00"/>
    <n v="3"/>
    <n v="212"/>
    <n v="193"/>
    <n v="207.5"/>
    <x v="0"/>
    <x v="4"/>
    <n v="2.5190000000000001"/>
    <n v="1"/>
    <n v="1.2288943853332748E-2"/>
    <n v="5.3565862746720123"/>
    <n v="5.3351313396707534"/>
  </r>
  <r>
    <s v="MR462"/>
    <s v="P. blochii"/>
    <d v="2018-07-21T00:00:00"/>
    <n v="3"/>
    <n v="207"/>
    <n v="189"/>
    <n v="184"/>
    <x v="0"/>
    <x v="1"/>
    <n v="2.4700000000000002"/>
    <n v="1"/>
    <n v="1.3606566407756295E-2"/>
    <n v="5.3327187932653688"/>
    <n v="5.2149357576089859"/>
  </r>
  <r>
    <s v="MR463"/>
    <s v="P. blochii"/>
    <d v="2018-07-21T00:00:00"/>
    <n v="3"/>
    <n v="170"/>
    <n v="160"/>
    <n v="105.4"/>
    <x v="1"/>
    <x v="4"/>
    <n v="0.76800000000000002"/>
    <n v="1"/>
    <n v="7.3400107041822768E-3"/>
    <n v="5.1357984370502621"/>
    <n v="4.6577626361072619"/>
  </r>
  <r>
    <s v="MR464"/>
    <s v="P. blochii"/>
    <d v="2018-07-21T00:00:00"/>
    <n v="3"/>
    <n v="221"/>
    <n v="202"/>
    <n v="235"/>
    <x v="1"/>
    <x v="4"/>
    <n v="0.6"/>
    <n v="3"/>
    <n v="2.5597269624573378E-3"/>
    <n v="5.3981627015177525"/>
    <n v="5.4595855141441589"/>
  </r>
  <r>
    <s v="MR465"/>
    <s v="P. blochii"/>
    <d v="2018-07-21T00:00:00"/>
    <n v="3"/>
    <n v="213"/>
    <n v="189"/>
    <n v="186.4"/>
    <x v="1"/>
    <x v="1"/>
    <n v="0.38200000000000001"/>
    <n v="0"/>
    <n v="2.0535647087916225E-3"/>
    <n v="5.3612921657094255"/>
    <n v="5.2278949022514904"/>
  </r>
  <r>
    <s v="MR467"/>
    <s v="P. blochii"/>
    <d v="2017-12-29T00:00:00"/>
    <n v="4"/>
    <n v="198"/>
    <n v="182"/>
    <n v="159"/>
    <x v="4"/>
    <x v="4"/>
    <n v="0.08"/>
    <n v="1"/>
    <n v="5.0339793606846216E-4"/>
    <n v="5.2882670306945352"/>
    <n v="5.0689042022202315"/>
  </r>
  <r>
    <s v="MR468"/>
    <s v="P. blochii"/>
    <d v="2018-07-21T00:00:00"/>
    <n v="3"/>
    <n v="182"/>
    <n v="167"/>
    <n v="117.8"/>
    <x v="0"/>
    <x v="5"/>
    <n v="0.495"/>
    <n v="3"/>
    <n v="4.2197689783044206E-3"/>
    <n v="5.2040066870767951"/>
    <n v="4.768988271217486"/>
  </r>
  <r>
    <s v="MR469"/>
    <s v="P. blochii"/>
    <d v="2018-07-21T00:00:00"/>
    <n v="3"/>
    <n v="196"/>
    <n v="179"/>
    <n v="149.30000000000001"/>
    <x v="1"/>
    <x v="5"/>
    <n v="0.06"/>
    <n v="1"/>
    <n v="4.0203698740284101E-4"/>
    <n v="5.2781146592305168"/>
    <n v="5.0059577045451444"/>
  </r>
  <r>
    <s v="MR470"/>
    <s v="P. blochii"/>
    <d v="2018-07-21T00:00:00"/>
    <n v="3"/>
    <n v="210"/>
    <n v="190"/>
    <n v="186.2"/>
    <x v="1"/>
    <x v="1"/>
    <n v="0.6"/>
    <n v="0"/>
    <n v="3.2327586206896551E-3"/>
    <n v="5.3471075307174685"/>
    <n v="5.2268213648429667"/>
  </r>
  <r>
    <s v="MR471"/>
    <s v="P. blochii"/>
    <d v="2018-07-21T00:00:00"/>
    <n v="3"/>
    <n v="197"/>
    <n v="154"/>
    <n v="146.4"/>
    <x v="1"/>
    <x v="4"/>
    <n v="0.09"/>
    <n v="2"/>
    <n v="6.1513225343448835E-4"/>
    <n v="5.2832037287379885"/>
    <n v="4.9863426015272116"/>
  </r>
  <r>
    <s v="MR472"/>
    <s v="P. blochii"/>
    <d v="2018-07-21T00:00:00"/>
    <n v="3"/>
    <n v="205"/>
    <n v="186"/>
    <n v="154.69999999999999"/>
    <x v="0"/>
    <x v="4"/>
    <n v="0.5"/>
    <n v="1"/>
    <n v="3.2425421530479898E-3"/>
    <n v="5.3230099791384085"/>
    <n v="5.04148775757902"/>
  </r>
  <r>
    <s v="MR473"/>
    <s v="P. blochii"/>
    <d v="2017-12-29T00:00:00"/>
    <n v="4"/>
    <n v="188"/>
    <n v="171"/>
    <n v="147"/>
    <x v="0"/>
    <x v="1"/>
    <n v="1.29"/>
    <n v="2"/>
    <n v="8.8532015647519047E-3"/>
    <n v="5.2364419628299492"/>
    <n v="4.990432586778736"/>
  </r>
  <r>
    <s v="MR474"/>
    <s v="P. blochii"/>
    <d v="2018-07-21T00:00:00"/>
    <n v="3"/>
    <n v="191"/>
    <n v="179"/>
    <n v="144"/>
    <x v="0"/>
    <x v="4"/>
    <n v="0.9"/>
    <n v="0"/>
    <n v="6.2893081761006293E-3"/>
    <n v="5.2522734280466299"/>
    <n v="4.9698132995760007"/>
  </r>
  <r>
    <s v="MR475"/>
    <s v="P. blochii"/>
    <d v="2017-12-29T00:00:00"/>
    <n v="4"/>
    <n v="166"/>
    <n v="150"/>
    <n v="81"/>
    <x v="3"/>
    <x v="8"/>
    <n v="0"/>
    <n v="1"/>
    <n v="0"/>
    <n v="5.1119877883565437"/>
    <n v="4.3944491546724391"/>
  </r>
  <r>
    <s v="MR476"/>
    <s v="P. blochii"/>
    <d v="2017-12-29T00:00:00"/>
    <n v="4"/>
    <n v="184"/>
    <n v="166"/>
    <n v="181"/>
    <x v="3"/>
    <x v="8"/>
    <n v="0"/>
    <n v="0"/>
    <n v="0"/>
    <n v="5.2149357576089859"/>
    <n v="5.1984970312658261"/>
  </r>
  <r>
    <s v="MR477"/>
    <s v="P. blochii"/>
    <d v="2017-12-29T00:00:00"/>
    <n v="4"/>
    <n v="185"/>
    <n v="142"/>
    <n v="136"/>
    <x v="1"/>
    <x v="4"/>
    <n v="0"/>
    <n v="1"/>
    <n v="0"/>
    <n v="5.2203558250783244"/>
    <n v="4.9126548857360524"/>
  </r>
  <r>
    <s v="MR478"/>
    <s v="P. blochii"/>
    <d v="2017-12-29T00:00:00"/>
    <n v="4"/>
    <n v="181"/>
    <n v="138"/>
    <n v="168"/>
    <x v="3"/>
    <x v="8"/>
    <n v="0"/>
    <n v="0"/>
    <n v="0"/>
    <n v="5.1984970312658261"/>
    <n v="5.1239639794032588"/>
  </r>
  <r>
    <s v="MR512"/>
    <s v="P. blochii"/>
    <d v="2018-05-31T00:00:00"/>
    <n v="2"/>
    <n v="246"/>
    <n v="224"/>
    <n v="319.5"/>
    <x v="1"/>
    <x v="1"/>
    <n v="0.7"/>
    <n v="2"/>
    <n v="2.1957340025094102E-3"/>
    <n v="5.5053315359323625"/>
    <n v="5.7667572738175892"/>
  </r>
  <r>
    <s v="MR513"/>
    <s v="P. blochii"/>
    <d v="2019-05-31T00:00:00"/>
    <n v="2"/>
    <n v="241"/>
    <n v="221.8"/>
    <n v="289.5"/>
    <x v="1"/>
    <x v="1"/>
    <n v="1.7"/>
    <n v="1"/>
    <n v="5.9068797776233488E-3"/>
    <n v="5.4847969334906548"/>
    <n v="5.6681552970130502"/>
  </r>
  <r>
    <s v="MR514"/>
    <s v="P. blochii"/>
    <d v="2019-05-31T00:00:00"/>
    <n v="2"/>
    <n v="227"/>
    <n v="208"/>
    <n v="252"/>
    <x v="0"/>
    <x v="1"/>
    <n v="3.1"/>
    <n v="3"/>
    <n v="1.2454801124949779E-2"/>
    <n v="5.4249500174814029"/>
    <n v="5.5294290875114234"/>
  </r>
  <r>
    <s v="MR515"/>
    <s v="P. blochii"/>
    <d v="2019-05-31T00:00:00"/>
    <n v="2"/>
    <n v="240"/>
    <n v="218"/>
    <n v="275"/>
    <x v="0"/>
    <x v="0"/>
    <n v="7.5"/>
    <n v="2"/>
    <n v="2.8037383177570093E-2"/>
    <n v="5.4806389233419912"/>
    <n v="5.6167710976665717"/>
  </r>
  <r>
    <s v="MR516"/>
    <s v="P. blochii"/>
    <d v="2019-05-31T00:00:00"/>
    <n v="2"/>
    <n v="255"/>
    <n v="233"/>
    <n v="367.5"/>
    <x v="1"/>
    <x v="1"/>
    <n v="1.2"/>
    <n v="1"/>
    <n v="3.2760032760032758E-3"/>
    <n v="5.5412635451584258"/>
    <n v="5.9067233186528911"/>
  </r>
  <r>
    <s v="MR517"/>
    <s v="P. blochii"/>
    <d v="2019-05-31T00:00:00"/>
    <n v="2"/>
    <n v="246"/>
    <n v="218"/>
    <n v="276"/>
    <x v="0"/>
    <x v="1"/>
    <n v="3.7"/>
    <n v="1"/>
    <n v="1.3587954461990452E-2"/>
    <n v="5.5053315359323625"/>
    <n v="5.6204008657171496"/>
  </r>
  <r>
    <s v="MR518"/>
    <s v="P. blochii"/>
    <d v="2019-05-31T00:00:00"/>
    <n v="2"/>
    <n v="251"/>
    <n v="222"/>
    <n v="283"/>
    <x v="0"/>
    <x v="1"/>
    <n v="3.3"/>
    <n v="1"/>
    <n v="1.1798355380765105E-2"/>
    <n v="5.5254529391317835"/>
    <n v="5.6454468976432377"/>
  </r>
  <r>
    <s v="MR519"/>
    <s v="P. blochii"/>
    <d v="2019-05-31T00:00:00"/>
    <n v="2"/>
    <n v="247"/>
    <n v="209"/>
    <n v="329.5"/>
    <x v="1"/>
    <x v="1"/>
    <n v="0.5"/>
    <n v="2"/>
    <n v="1.5197568389057751E-3"/>
    <n v="5.5093883366279774"/>
    <n v="5.7975763539425618"/>
  </r>
  <r>
    <s v="MR520"/>
    <s v="P. blochii"/>
    <d v="2019-05-31T00:00:00"/>
    <n v="2"/>
    <n v="211"/>
    <n v="190"/>
    <n v="190.5"/>
    <x v="1"/>
    <x v="1"/>
    <n v="2.9"/>
    <n v="2"/>
    <n v="1.5458422174840085E-2"/>
    <n v="5.3518581334760666"/>
    <n v="5.2496521945667558"/>
  </r>
  <r>
    <s v="MR521"/>
    <s v="P. blochii"/>
    <d v="2019-05-31T00:00:00"/>
    <n v="2"/>
    <n v="218"/>
    <n v="195"/>
    <n v="186.5"/>
    <x v="0"/>
    <x v="1"/>
    <n v="0.8"/>
    <n v="1"/>
    <n v="4.3080236941303186E-3"/>
    <n v="5.3844950627890888"/>
    <n v="5.2284312390838705"/>
  </r>
  <r>
    <s v="MR522"/>
    <s v="P. blochii"/>
    <d v="2019-05-31T00:00:00"/>
    <n v="2"/>
    <n v="210"/>
    <n v="190"/>
    <n v="176"/>
    <x v="1"/>
    <x v="1"/>
    <n v="0.7"/>
    <n v="1"/>
    <n v="3.9931545921277805E-3"/>
    <n v="5.3471075307174685"/>
    <n v="5.1704839950381514"/>
  </r>
  <r>
    <s v="MR523"/>
    <s v="P. blochii"/>
    <d v="2018-11-15T00:00:00"/>
    <n v="4"/>
    <n v="309"/>
    <n v="278"/>
    <n v="678.5"/>
    <x v="1"/>
    <x v="0"/>
    <n v="10.1"/>
    <n v="2"/>
    <n v="1.5110712148414123E-2"/>
    <n v="5.7333412768977459"/>
    <n v="6.519884479274924"/>
  </r>
  <r>
    <s v="MR524"/>
    <s v="P. blochii"/>
    <d v="2018-11-15T00:00:00"/>
    <n v="4"/>
    <n v="189"/>
    <n v="186"/>
    <n v="173"/>
    <x v="0"/>
    <x v="4"/>
    <n v="1"/>
    <n v="1"/>
    <n v="5.8139534883720929E-3"/>
    <n v="5.2417470150596426"/>
    <n v="5.1532915944977793"/>
  </r>
  <r>
    <s v="MR525"/>
    <s v="P. blochii"/>
    <d v="2018-11-15T00:00:00"/>
    <n v="4"/>
    <n v="176"/>
    <n v="164"/>
    <n v="119"/>
    <x v="0"/>
    <x v="4"/>
    <n v="0.5"/>
    <n v="1"/>
    <n v="4.2194092827004216E-3"/>
    <n v="5.1704839950381514"/>
    <n v="4.7791234931115296"/>
  </r>
  <r>
    <s v="MR527"/>
    <s v="P. blochii"/>
    <d v="2018-11-15T00:00:00"/>
    <n v="4"/>
    <n v="180"/>
    <n v="165"/>
    <n v="119"/>
    <x v="1"/>
    <x v="4"/>
    <n v="0.7"/>
    <n v="1"/>
    <n v="5.9171597633136093E-3"/>
    <n v="5.1929568508902104"/>
    <n v="4.7791234931115296"/>
  </r>
  <r>
    <s v="MR531"/>
    <s v="P. blochii"/>
    <d v="2019-04-03T00:00:00"/>
    <n v="2"/>
    <n v="298"/>
    <n v="269"/>
    <n v="512"/>
    <x v="1"/>
    <x v="2"/>
    <n v="43.7"/>
    <n v="0"/>
    <n v="9.3316250266922918E-2"/>
    <n v="5.6970934865054046"/>
    <n v="6.2383246250395077"/>
  </r>
  <r>
    <s v="MR532"/>
    <s v="P. blochii"/>
    <d v="2019-04-03T00:00:00"/>
    <n v="2"/>
    <n v="199"/>
    <n v="180"/>
    <n v="168.5"/>
    <x v="1"/>
    <x v="1"/>
    <n v="0.3"/>
    <n v="2"/>
    <n v="1.7835909631391202E-3"/>
    <n v="5.2933048247244923"/>
    <n v="5.1269357497924162"/>
  </r>
  <r>
    <s v="MR537"/>
    <s v="P. blochii"/>
    <d v="2019-04-03T00:00:00"/>
    <n v="2"/>
    <n v="145"/>
    <n v="134"/>
    <n v="56.5"/>
    <x v="3"/>
    <x v="5"/>
    <n v="0.01"/>
    <n v="0"/>
    <n v="1.770224818551956E-4"/>
    <n v="4.9767337424205742"/>
    <n v="4.0342406381523954"/>
  </r>
  <r>
    <s v="MR538"/>
    <s v="P. blochii"/>
    <d v="2019-04-03T00:00:00"/>
    <n v="2"/>
    <n v="244"/>
    <n v="222"/>
    <n v="270"/>
    <x v="1"/>
    <x v="2"/>
    <n v="10.199999999999999"/>
    <n v="0"/>
    <n v="3.9260969976905306E-2"/>
    <n v="5.4971682252932021"/>
    <n v="5.598421958998375"/>
  </r>
  <r>
    <s v="MR539"/>
    <s v="P. blochii"/>
    <d v="2019-04-03T00:00:00"/>
    <n v="2"/>
    <n v="224"/>
    <n v="204"/>
    <n v="208"/>
    <x v="0"/>
    <x v="1"/>
    <n v="7.4"/>
    <n v="2"/>
    <n v="3.6889332003988036E-2"/>
    <n v="5.4116460518550396"/>
    <n v="5.3375380797013179"/>
  </r>
  <r>
    <s v="MR542"/>
    <s v="P. blochii"/>
    <d v="2019-05-25T00:00:00"/>
    <n v="2"/>
    <n v="323"/>
    <n v="291"/>
    <n v="663.5"/>
    <x v="0"/>
    <x v="2"/>
    <n v="48"/>
    <n v="1"/>
    <n v="7.798537774167344E-2"/>
    <n v="5.7776523232226564"/>
    <n v="6.4975288537722626"/>
  </r>
  <r>
    <s v="MR543"/>
    <s v="P. blochii"/>
    <d v="2019-05-25T00:00:00"/>
    <n v="2"/>
    <n v="283"/>
    <n v="257"/>
    <n v="480.5"/>
    <x v="1"/>
    <x v="0"/>
    <n v="22.9"/>
    <n v="2"/>
    <n v="5.0043706293706289E-2"/>
    <n v="5.6454468976432377"/>
    <n v="6.1748272284103471"/>
  </r>
  <r>
    <s v="MR545"/>
    <s v="P. blochii"/>
    <d v="2019-04-03T00:00:00"/>
    <n v="2"/>
    <n v="253"/>
    <n v="228"/>
    <n v="341"/>
    <x v="0"/>
    <x v="0"/>
    <n v="10.6"/>
    <n v="1"/>
    <n v="3.2082324455205813E-2"/>
    <n v="5.5333894887275203"/>
    <n v="5.8318824772835169"/>
  </r>
  <r>
    <s v="MR547"/>
    <s v="P. blochii"/>
    <d v="2018-11-15T00:00:00"/>
    <n v="4"/>
    <n v="174"/>
    <n v="160"/>
    <n v="132"/>
    <x v="1"/>
    <x v="1"/>
    <n v="1.1000000000000001"/>
    <n v="3"/>
    <n v="8.4033613445378148E-3"/>
    <n v="5.1590552992145291"/>
    <n v="4.8828019225863706"/>
  </r>
  <r>
    <s v="MR548"/>
    <s v="P. blochii"/>
    <d v="2018-11-15T00:00:00"/>
    <n v="4"/>
    <n v="182"/>
    <n v="168"/>
    <n v="130.5"/>
    <x v="0"/>
    <x v="4"/>
    <n v="0.6"/>
    <n v="2"/>
    <n v="4.6189376443418013E-3"/>
    <n v="5.2040066870767951"/>
    <n v="4.8713732267627483"/>
  </r>
  <r>
    <s v="MR549"/>
    <s v="P. blochii"/>
    <d v="2018-11-15T00:00:00"/>
    <n v="4"/>
    <n v="199"/>
    <n v="186"/>
    <n v="151.5"/>
    <x v="0"/>
    <x v="4"/>
    <n v="1"/>
    <n v="1"/>
    <n v="6.6445182724252493E-3"/>
    <n v="5.2933048247244923"/>
    <n v="5.0205856249494234"/>
  </r>
  <r>
    <s v="MR550"/>
    <s v="P. blochii"/>
    <d v="2018-11-15T00:00:00"/>
    <n v="4"/>
    <n v="205"/>
    <n v="175"/>
    <n v="165.5"/>
    <x v="1"/>
    <x v="4"/>
    <n v="0.1"/>
    <n v="2"/>
    <n v="6.0459492140266019E-4"/>
    <n v="5.3230099791384085"/>
    <n v="5.1089711948171175"/>
  </r>
  <r>
    <s v="MR551"/>
    <s v="P. blochii"/>
    <d v="2018-11-15T00:00:00"/>
    <n v="4"/>
    <n v="181"/>
    <n v="167"/>
    <n v="128"/>
    <x v="0"/>
    <x v="4"/>
    <n v="0.6"/>
    <n v="2"/>
    <n v="4.7095761381475663E-3"/>
    <n v="5.1984970312658261"/>
    <n v="4.8520302639196169"/>
  </r>
  <r>
    <s v="MR552"/>
    <s v="P. blochii"/>
    <d v="2019-02-23T00:00:00"/>
    <n v="1"/>
    <n v="240"/>
    <n v="217"/>
    <n v="237"/>
    <x v="1"/>
    <x v="1"/>
    <n v="4.0999999999999996"/>
    <n v="3"/>
    <n v="1.7604121940747099E-2"/>
    <n v="5.4806389233419912"/>
    <n v="5.4680601411351315"/>
  </r>
  <r>
    <s v="MR553"/>
    <s v="P. blochii"/>
    <d v="2019-03-23T00:00:00"/>
    <n v="1"/>
    <n v="291"/>
    <n v="262"/>
    <n v="492"/>
    <x v="1"/>
    <x v="4"/>
    <n v="9.5"/>
    <n v="3"/>
    <n v="1.9689119170984457E-2"/>
    <n v="5.6733232671714928"/>
    <n v="6.1984787164923079"/>
  </r>
  <r>
    <s v="MR555"/>
    <s v="P. blochii"/>
    <d v="2018-11-15T00:00:00"/>
    <n v="4"/>
    <n v="218"/>
    <n v="193"/>
    <n v="201.5"/>
    <x v="1"/>
    <x v="5"/>
    <n v="0.4"/>
    <n v="0"/>
    <n v="1.9890601690701146E-3"/>
    <n v="5.3844950627890888"/>
    <n v="5.3057893813867381"/>
  </r>
  <r>
    <s v="MR556"/>
    <s v="P. blochii"/>
    <d v="2018-11-15T00:00:00"/>
    <n v="4"/>
    <n v="241"/>
    <n v="220"/>
    <n v="295.5"/>
    <x v="0"/>
    <x v="4"/>
    <n v="2.5"/>
    <n v="3"/>
    <n v="8.5324232081911266E-3"/>
    <n v="5.4847969334906548"/>
    <n v="5.6886688368461531"/>
  </r>
  <r>
    <s v="MR557"/>
    <s v="P. blochii"/>
    <d v="2018-11-15T00:00:00"/>
    <n v="4"/>
    <n v="225"/>
    <n v="212"/>
    <n v="258"/>
    <x v="1"/>
    <x v="4"/>
    <n v="1.6"/>
    <n v="2"/>
    <n v="6.2402496099844005E-3"/>
    <n v="5.4161004022044201"/>
    <n v="5.5529595849216173"/>
  </r>
  <r>
    <s v="MR558"/>
    <s v="P. blochii"/>
    <d v="2018-11-15T00:00:00"/>
    <n v="4"/>
    <n v="199"/>
    <n v="176"/>
    <n v="149"/>
    <x v="1"/>
    <x v="5"/>
    <n v="0"/>
    <n v="3"/>
    <n v="0"/>
    <n v="5.2933048247244923"/>
    <n v="5.0039463059454592"/>
  </r>
  <r>
    <s v="MR559"/>
    <s v="P. blochii"/>
    <d v="2018-11-15T00:00:00"/>
    <n v="4"/>
    <n v="256"/>
    <n v="235"/>
    <n v="347.5"/>
    <x v="0"/>
    <x v="1"/>
    <n v="2.4"/>
    <n v="1"/>
    <n v="6.9545059403071565E-3"/>
    <n v="5.5451774444795623"/>
    <n v="5.8507646650048466"/>
  </r>
  <r>
    <s v="MR560"/>
    <s v="P. blochii"/>
    <d v="2018-11-15T00:00:00"/>
    <n v="4"/>
    <n v="213"/>
    <n v="193"/>
    <n v="201"/>
    <x v="0"/>
    <x v="4"/>
    <n v="1.4"/>
    <n v="2"/>
    <n v="7.0140280561122245E-3"/>
    <n v="5.3612921657094255"/>
    <n v="5.3033049080590757"/>
  </r>
  <r>
    <s v="MR563"/>
    <s v="P.blochii"/>
    <d v="2019-12-23T00:00:00"/>
    <n v="4"/>
    <n v="175"/>
    <n v="155"/>
    <n v="103"/>
    <x v="0"/>
    <x v="4"/>
    <n v="0.45"/>
    <n v="0"/>
    <n v="4.3881033642125793E-3"/>
    <n v="5.1647859739235145"/>
    <n v="4.6347289882296359"/>
  </r>
  <r>
    <s v="MR564"/>
    <s v="P. blochii"/>
    <d v="2019-12-23T00:00:00"/>
    <n v="4"/>
    <n v="221"/>
    <n v="202"/>
    <n v="215"/>
    <x v="0"/>
    <x v="4"/>
    <n v="2.5"/>
    <n v="1"/>
    <n v="1.1764705882352941E-2"/>
    <n v="5.3981627015177525"/>
    <n v="5.3706380281276624"/>
  </r>
  <r>
    <s v="MR565"/>
    <s v="P. blochii"/>
    <d v="2019-12-23T00:00:00"/>
    <n v="4"/>
    <n v="186"/>
    <n v="170"/>
    <n v="113"/>
    <x v="1"/>
    <x v="4"/>
    <n v="0.6"/>
    <n v="1"/>
    <n v="5.3380782918149459E-3"/>
    <n v="5.2257466737132017"/>
    <n v="4.7273878187123408"/>
  </r>
  <r>
    <s v="MR568"/>
    <s v="P. blochii"/>
    <d v="2019-12-23T00:00:00"/>
    <n v="4"/>
    <n v="196"/>
    <n v="177"/>
    <n v="140"/>
    <x v="0"/>
    <x v="4"/>
    <n v="1"/>
    <n v="1"/>
    <n v="7.1942446043165471E-3"/>
    <n v="5.2781146592305168"/>
    <n v="4.9416424226093039"/>
  </r>
  <r>
    <s v="MR569"/>
    <s v="P. blochii"/>
    <d v="2019-12-23T00:00:00"/>
    <n v="4"/>
    <n v="221"/>
    <n v="206"/>
    <n v="218"/>
    <x v="0"/>
    <x v="0"/>
    <n v="6.81"/>
    <n v="0"/>
    <n v="3.2245844973720343E-2"/>
    <n v="5.3981627015177525"/>
    <n v="5.3844950627890888"/>
  </r>
  <r>
    <s v="MR570"/>
    <s v="P. blochii"/>
    <d v="2019-12-23T00:00:00"/>
    <n v="4"/>
    <n v="241"/>
    <n v="215"/>
    <n v="262"/>
    <x v="0"/>
    <x v="4"/>
    <n v="2.6"/>
    <n v="1"/>
    <n v="1.0023130300693911E-2"/>
    <n v="5.4847969334906548"/>
    <n v="5.5683445037610966"/>
  </r>
  <r>
    <s v="MR571"/>
    <s v="P. blochii"/>
    <d v="2019-12-23T00:00:00"/>
    <n v="4"/>
    <n v="278"/>
    <n v="254"/>
    <n v="374"/>
    <x v="0"/>
    <x v="4"/>
    <n v="4.4000000000000004"/>
    <n v="1"/>
    <n v="1.1904761904761906E-2"/>
    <n v="5.6276211136906369"/>
    <n v="5.9242557974145322"/>
  </r>
  <r>
    <s v="MR592"/>
    <s v="P. blochii"/>
    <d v="2021-07-25T00:00:00"/>
    <n v="3"/>
    <n v="199"/>
    <n v="186"/>
    <n v="155.19999999999999"/>
    <x v="1"/>
    <x v="0"/>
    <n v="3.4"/>
    <n v="0"/>
    <n v="2.2397891963109356E-2"/>
    <n v="5.2933048247244923"/>
    <n v="5.0447146077491185"/>
  </r>
  <r>
    <s v="MR593"/>
    <s v="P. blochii"/>
    <d v="2021-07-25T00:00:00"/>
    <n v="3"/>
    <n v="225"/>
    <n v="211"/>
    <n v="244.7"/>
    <x v="1"/>
    <x v="0"/>
    <n v="3.5"/>
    <n v="1"/>
    <n v="1.451077943615257E-2"/>
    <n v="5.4161004022044201"/>
    <n v="5.5000329704486255"/>
  </r>
  <r>
    <s v="MR594"/>
    <s v="P. blochii"/>
    <d v="2021-07-25T00:00:00"/>
    <n v="3"/>
    <n v="301"/>
    <n v="284"/>
    <n v="598.79999999999995"/>
    <x v="0"/>
    <x v="2"/>
    <n v="25.4"/>
    <n v="0"/>
    <n v="4.4297174747122428E-2"/>
    <n v="5.7071102647488754"/>
    <n v="6.3949276525454728"/>
  </r>
  <r>
    <s v="MR600"/>
    <s v="P. blochii"/>
    <d v="2021-07-25T00:00:00"/>
    <n v="3"/>
    <n v="281"/>
    <n v="262"/>
    <n v="424"/>
    <x v="1"/>
    <x v="9"/>
    <n v="4.4000000000000004"/>
    <n v="0"/>
    <n v="1.0486177311725454E-2"/>
    <n v="5.6383546693337454"/>
    <n v="6.0497334552319577"/>
  </r>
  <r>
    <s v="MR601"/>
    <s v="P. blochii"/>
    <d v="2021-07-25T00:00:00"/>
    <n v="3"/>
    <n v="329"/>
    <n v="312"/>
    <n v="733.9"/>
    <x v="0"/>
    <x v="2"/>
    <n v="30.5"/>
    <n v="1"/>
    <n v="4.3360818879727044E-2"/>
    <n v="5.7960577507653719"/>
    <n v="6.598372779551017"/>
  </r>
  <r>
    <s v="MR602"/>
    <s v="P. blochii"/>
    <d v="2021-07-25T00:00:00"/>
    <n v="3"/>
    <n v="207"/>
    <n v="186"/>
    <n v="170.5"/>
    <x v="0"/>
    <x v="2"/>
    <n v="5.7"/>
    <n v="0"/>
    <n v="3.4587378640776698E-2"/>
    <n v="5.3327187932653688"/>
    <n v="5.1387352967235715"/>
  </r>
  <r>
    <s v="MR603"/>
    <s v="P. blochii"/>
    <d v="2021-07-25T00:00:00"/>
    <n v="3"/>
    <n v="255"/>
    <n v="229"/>
    <n v="276.5"/>
    <x v="1"/>
    <x v="0"/>
    <n v="4.5999999999999996"/>
    <n v="1"/>
    <n v="1.6917984553144538E-2"/>
    <n v="5.5412635451584258"/>
    <n v="5.6222108209623896"/>
  </r>
  <r>
    <s v="MR605"/>
    <s v="P. blochii"/>
    <d v="2021-07-25T00:00:00"/>
    <n v="3"/>
    <n v="270"/>
    <n v="242"/>
    <n v="379.9"/>
    <x v="1"/>
    <x v="0"/>
    <n v="6.7"/>
    <n v="1"/>
    <n v="1.7952840300107183E-2"/>
    <n v="5.598421958998375"/>
    <n v="5.9399080601935799"/>
  </r>
  <r>
    <s v="MR606"/>
    <s v="P. blochii"/>
    <d v="2021-07-25T00:00:00"/>
    <n v="3"/>
    <n v="221"/>
    <n v="205"/>
    <n v="200.1"/>
    <x v="1"/>
    <x v="0"/>
    <n v="5.8"/>
    <n v="0"/>
    <n v="2.9850746268656719E-2"/>
    <n v="5.3981627015177525"/>
    <n v="5.2988172415896875"/>
  </r>
  <r>
    <s v="MR607"/>
    <s v="P. blochii"/>
    <d v="2021-07-25T00:00:00"/>
    <n v="3"/>
    <n v="236"/>
    <n v="219"/>
    <n v="256.89999999999998"/>
    <x v="0"/>
    <x v="1"/>
    <n v="10"/>
    <n v="0"/>
    <n v="4.0502227622519239E-2"/>
    <n v="5.4638318050256105"/>
    <n v="5.5486869041158382"/>
  </r>
  <r>
    <s v="MR608"/>
    <s v="P. blochii"/>
    <d v="2021-07-25T00:00:00"/>
    <n v="3"/>
    <n v="263"/>
    <n v="245"/>
    <n v="359"/>
    <x v="1"/>
    <x v="0"/>
    <n v="6.8"/>
    <n v="1"/>
    <n v="1.9307211811470756E-2"/>
    <n v="5.5721540321777647"/>
    <n v="5.8833223884882786"/>
  </r>
  <r>
    <s v="MR609"/>
    <s v="P. blochii"/>
    <d v="2021-07-25T00:00:00"/>
    <n v="3"/>
    <n v="256"/>
    <n v="239"/>
    <n v="318"/>
    <x v="1"/>
    <x v="0"/>
    <n v="6.4"/>
    <n v="1"/>
    <n v="2.0539152759948651E-2"/>
    <n v="5.5451774444795623"/>
    <n v="5.7620513827801769"/>
  </r>
  <r>
    <s v="MR611"/>
    <s v="P. blochii"/>
    <d v="2022-07-31T00:00:00"/>
    <n v="3"/>
    <n v="224"/>
    <n v="202"/>
    <n v="217.5"/>
    <x v="0"/>
    <x v="1"/>
    <n v="3.5"/>
    <n v="1"/>
    <n v="1.6355140186915886E-2"/>
    <n v="5.4116460518550396"/>
    <n v="5.3821988505287388"/>
  </r>
  <r>
    <s v="MR612"/>
    <s v="P. blochii"/>
    <d v="2022-07-31T00:00:00"/>
    <n v="3"/>
    <n v="232"/>
    <n v="207"/>
    <n v="244"/>
    <x v="0"/>
    <x v="0"/>
    <n v="8.2100000000000009"/>
    <n v="2"/>
    <n v="3.481911870732432E-2"/>
    <n v="5.4467373716663099"/>
    <n v="5.4971682252932021"/>
  </r>
  <r>
    <s v="MR613"/>
    <s v="P. blochii"/>
    <d v="2022-07-31T00:00:00"/>
    <n v="3"/>
    <n v="258"/>
    <n v="237"/>
    <n v="326.85000000000002"/>
    <x v="0"/>
    <x v="0"/>
    <n v="9.24"/>
    <n v="1"/>
    <n v="2.9092282988570889E-2"/>
    <n v="5.5529595849216173"/>
    <n v="5.7895013500587389"/>
  </r>
  <r>
    <s v="MR614"/>
    <s v="P. blochii"/>
    <d v="2022-07-31T00:00:00"/>
    <n v="3"/>
    <n v="241"/>
    <n v="218"/>
    <n v="234.5"/>
    <x v="1"/>
    <x v="0"/>
    <n v="5"/>
    <n v="0"/>
    <n v="2.178649237472767E-2"/>
    <n v="5.4847969334906548"/>
    <n v="5.4574555878863338"/>
  </r>
  <r>
    <s v="MR615"/>
    <s v="P. blochii"/>
    <d v="2022-06-02T00:00:00"/>
    <n v="2"/>
    <n v="251"/>
    <n v="204"/>
    <n v="284.93"/>
    <x v="0"/>
    <x v="3"/>
    <n v="21.6"/>
    <n v="0"/>
    <n v="8.2026354763984358E-2"/>
    <n v="5.5254529391317835"/>
    <n v="5.6522435360654955"/>
  </r>
  <r>
    <s v="MR616"/>
    <s v="P. blochii"/>
    <d v="2022-06-02T00:00:00"/>
    <n v="2"/>
    <n v="225"/>
    <n v="211"/>
    <n v="240"/>
    <x v="0"/>
    <x v="0"/>
    <n v="11.5"/>
    <n v="1"/>
    <n v="5.0328227571115977E-2"/>
    <n v="5.4161004022044201"/>
    <n v="5.4806389233419912"/>
  </r>
  <r>
    <s v="MR617"/>
    <s v="P. blochii"/>
    <d v="2022-06-02T00:00:00"/>
    <n v="2"/>
    <n v="226"/>
    <n v="208"/>
    <n v="252"/>
    <x v="0"/>
    <x v="0"/>
    <n v="16.5"/>
    <n v="1"/>
    <n v="7.0063694267515922E-2"/>
    <n v="5.4205349992722862"/>
    <n v="5.5294290875114234"/>
  </r>
  <r>
    <s v="MR618"/>
    <s v="P. blochii"/>
    <d v="2022-06-02T00:00:00"/>
    <n v="2"/>
    <n v="239"/>
    <n v="190"/>
    <n v="271.33"/>
    <x v="0"/>
    <x v="9"/>
    <n v="16.399999999999999"/>
    <n v="1"/>
    <n v="6.4331385086102061E-2"/>
    <n v="5.476463551931511"/>
    <n v="5.6033357922466838"/>
  </r>
  <r>
    <s v="MR619"/>
    <s v="P. blochii"/>
    <d v="2022-06-02T00:00:00"/>
    <n v="2"/>
    <n v="245"/>
    <n v="220"/>
    <n v="250"/>
    <x v="0"/>
    <x v="0"/>
    <n v="11"/>
    <n v="0"/>
    <n v="4.6025104602510462E-2"/>
    <n v="5.5012582105447274"/>
    <n v="5.521460917862246"/>
  </r>
  <r>
    <s v="MR620"/>
    <s v="P. blochii"/>
    <d v="2022-08-08T00:00:00"/>
    <n v="3"/>
    <n v="291"/>
    <n v="263"/>
    <n v="410.24"/>
    <x v="0"/>
    <x v="0"/>
    <n v="17.2"/>
    <n v="1"/>
    <n v="4.376144921636474E-2"/>
    <n v="5.6733232671714928"/>
    <n v="6.0167423542922505"/>
  </r>
  <r>
    <s v="MR621"/>
    <s v="P. blochii"/>
    <d v="2022-08-08T00:00:00"/>
    <n v="3"/>
    <n v="340"/>
    <n v="305"/>
    <n v="697"/>
    <x v="0"/>
    <x v="1"/>
    <n v="30.69"/>
    <n v="0"/>
    <n v="4.605964190842101E-2"/>
    <n v="5.8289456176102075"/>
    <n v="6.5467854107605241"/>
  </r>
  <r>
    <s v="MR622"/>
    <s v="P. blochii"/>
    <d v="2022-08-08T00:00:00"/>
    <n v="3"/>
    <n v="348"/>
    <n v="319"/>
    <n v="699.5"/>
    <x v="0"/>
    <x v="1"/>
    <n v="23"/>
    <n v="0"/>
    <n v="3.399852180339985E-2"/>
    <n v="5.8522024797744745"/>
    <n v="6.5503657941055362"/>
  </r>
  <r>
    <s v="MR623"/>
    <s v="P. blochii"/>
    <d v="2022-08-08T00:00:00"/>
    <n v="3"/>
    <n v="257"/>
    <n v="231"/>
    <n v="310.8"/>
    <x v="0"/>
    <x v="0"/>
    <n v="18.2"/>
    <n v="1"/>
    <n v="6.2200956937799035E-2"/>
    <n v="5.5490760848952201"/>
    <n v="5.7391496184934923"/>
  </r>
  <r>
    <s v="MR624"/>
    <s v="P. blochii"/>
    <d v="2022-05-08T00:00:00"/>
    <n v="2"/>
    <n v="241"/>
    <n v="216"/>
    <n v="281"/>
    <x v="1"/>
    <x v="0"/>
    <n v="16.21"/>
    <n v="1"/>
    <n v="6.1218323954832128E-2"/>
    <n v="5.4847969334906548"/>
    <n v="5.6383546693337454"/>
  </r>
  <r>
    <s v="MR625"/>
    <s v="P. blochii"/>
    <d v="2022-05-08T00:00:00"/>
    <n v="2"/>
    <n v="253"/>
    <n v="226"/>
    <n v="328"/>
    <x v="1"/>
    <x v="2"/>
    <n v="16.100000000000001"/>
    <n v="2"/>
    <n v="5.1619108688682282E-2"/>
    <n v="5.5333894887275203"/>
    <n v="5.7930136083841441"/>
  </r>
  <r>
    <s v="MR626"/>
    <s v="P. blochii"/>
    <d v="2022-05-08T00:00:00"/>
    <n v="2"/>
    <n v="283"/>
    <n v="250"/>
    <n v="474.4"/>
    <x v="1"/>
    <x v="0"/>
    <n v="4.25"/>
    <n v="2"/>
    <n v="9.0396681910028722E-3"/>
    <n v="5.6454468976432377"/>
    <n v="6.1620508476835161"/>
  </r>
  <r>
    <s v="MR627"/>
    <s v="P. blochii"/>
    <d v="2022-05-08T00:00:00"/>
    <n v="2"/>
    <n v="222"/>
    <n v="202"/>
    <n v="226.45"/>
    <x v="1"/>
    <x v="0"/>
    <n v="17.14"/>
    <n v="1"/>
    <n v="8.188810854713105E-2"/>
    <n v="5.4026773818722793"/>
    <n v="5.4225241700022231"/>
  </r>
  <r>
    <s v="MR628"/>
    <s v="P. blochii"/>
    <d v="2022-05-08T00:00:00"/>
    <n v="2"/>
    <n v="273"/>
    <n v="247"/>
    <n v="444"/>
    <x v="1"/>
    <x v="2"/>
    <n v="33.15"/>
    <n v="2"/>
    <n v="8.0686381891201156E-2"/>
    <n v="5.6094717951849598"/>
    <n v="6.0958245624322247"/>
  </r>
  <r>
    <s v="MR629"/>
    <s v="P. blochii"/>
    <d v="2022-05-08T00:00:00"/>
    <n v="2"/>
    <n v="322"/>
    <n v="299"/>
    <n v="720.5"/>
    <x v="1"/>
    <x v="2"/>
    <n v="34.549999999999997"/>
    <n v="0"/>
    <n v="5.0368102631387121E-2"/>
    <n v="5.7745515455444085"/>
    <n v="6.5799454154395765"/>
  </r>
  <r>
    <s v="MR630"/>
    <s v="P. blochii"/>
    <d v="2022-06-02T00:00:00"/>
    <n v="2"/>
    <n v="284"/>
    <n v="262"/>
    <n v="437"/>
    <x v="1"/>
    <x v="0"/>
    <n v="16.899999999999999"/>
    <n v="0"/>
    <n v="4.0228517019757194E-2"/>
    <n v="5.6489742381612063"/>
    <n v="6.0799331950955899"/>
  </r>
  <r>
    <s v="MR631"/>
    <s v="P. blochii"/>
    <d v="2022-07-07T00:00:00"/>
    <n v="3"/>
    <n v="307"/>
    <n v="277"/>
    <n v="549"/>
    <x v="1"/>
    <x v="2"/>
    <n v="21.19"/>
    <n v="1"/>
    <n v="4.0147022602830568E-2"/>
    <n v="5.7268477475871968"/>
    <n v="6.3080984415095305"/>
  </r>
  <r>
    <s v="MR632"/>
    <s v="P. blochii"/>
    <d v="2022-05-08T00:00:00"/>
    <n v="2"/>
    <n v="263"/>
    <n v="234"/>
    <n v="345.5"/>
    <x v="1"/>
    <x v="1"/>
    <n v="20.2"/>
    <n v="0"/>
    <n v="6.2096526283430674E-2"/>
    <n v="5.5721540321777647"/>
    <n v="5.8449926432077248"/>
  </r>
  <r>
    <s v="MR633"/>
    <s v="P. blochii"/>
    <d v="2022-05-08T00:00:00"/>
    <n v="2"/>
    <n v="296"/>
    <n v="257"/>
    <n v="523.29999999999995"/>
    <x v="1"/>
    <x v="1"/>
    <n v="29.62"/>
    <n v="2"/>
    <n v="5.99983795170961E-2"/>
    <n v="5.6903594543240601"/>
    <n v="6.2601549133781624"/>
  </r>
  <r>
    <s v="MR636"/>
    <s v="P. blochii"/>
    <d v="2022-08-08T00:00:00"/>
    <n v="3"/>
    <n v="330"/>
    <n v="298"/>
    <n v="593.21"/>
    <x v="1"/>
    <x v="0"/>
    <n v="8.43"/>
    <n v="2"/>
    <n v="1.4415677690755494E-2"/>
    <n v="5.7990926544605257"/>
    <n v="6.3855484678425238"/>
  </r>
  <r>
    <s v="MR637"/>
    <s v="P. blochii"/>
    <d v="2022-06-02T00:00:00"/>
    <n v="2"/>
    <n v="247"/>
    <n v="224"/>
    <n v="250.05"/>
    <x v="1"/>
    <x v="1"/>
    <n v="5.2"/>
    <n v="1"/>
    <n v="2.1237492342250357E-2"/>
    <n v="5.5093883366279774"/>
    <n v="5.5216608978649129"/>
  </r>
  <r>
    <s v="MR638"/>
    <s v="P. blochii"/>
    <d v="2022-06-02T00:00:00"/>
    <n v="2"/>
    <n v="239"/>
    <n v="228"/>
    <n v="270.32"/>
    <x v="0"/>
    <x v="0"/>
    <n v="17.809999999999999"/>
    <n v="2"/>
    <n v="7.0531860124351503E-2"/>
    <n v="5.476463551931511"/>
    <n v="5.5996064424060341"/>
  </r>
  <r>
    <s v="MR639"/>
    <s v="P. blochii"/>
    <d v="2022-06-02T00:00:00"/>
    <n v="2"/>
    <n v="229"/>
    <n v="206"/>
    <n v="242.64"/>
    <x v="1"/>
    <x v="0"/>
    <n v="13.28"/>
    <n v="2"/>
    <n v="5.7900244157656086E-2"/>
    <n v="5.43372200355424"/>
    <n v="5.491578863380326"/>
  </r>
  <r>
    <s v="MR641"/>
    <s v="P. blochii"/>
    <d v="2022-05-08T00:00:00"/>
    <n v="2"/>
    <n v="235"/>
    <n v="214"/>
    <n v="271.8"/>
    <x v="0"/>
    <x v="1"/>
    <n v="14.65"/>
    <n v="2"/>
    <n v="5.6970639704452646E-2"/>
    <n v="5.4595855141441589"/>
    <n v="5.6050665017170438"/>
  </r>
  <r>
    <s v="MR642"/>
    <s v="P. blochii"/>
    <d v="2022-05-08T00:00:00"/>
    <n v="2"/>
    <n v="243"/>
    <n v="220"/>
    <n v="297.5"/>
    <x v="1"/>
    <x v="2"/>
    <n v="23.55"/>
    <n v="1"/>
    <n v="8.5964592078846505E-2"/>
    <n v="5.4930614433405482"/>
    <n v="5.6954142249856847"/>
  </r>
  <r>
    <s v="MR643"/>
    <s v="P. blochii"/>
    <d v="2022-06-02T00:00:00"/>
    <n v="2"/>
    <n v="252"/>
    <n v="230"/>
    <n v="239"/>
    <x v="0"/>
    <x v="1"/>
    <n v="17.579999999999998"/>
    <n v="1"/>
    <n v="7.9396621804715004E-2"/>
    <n v="5.5294290875114234"/>
    <n v="5.476463551931511"/>
  </r>
  <r>
    <s v="MR644"/>
    <s v="P. blochii"/>
    <d v="2022-05-08T00:00:00"/>
    <n v="2"/>
    <n v="251"/>
    <n v="230"/>
    <n v="340.85"/>
    <x v="0"/>
    <x v="0"/>
    <n v="33.85"/>
    <n v="1"/>
    <n v="0.11026058631921824"/>
    <n v="5.5254529391317835"/>
    <n v="5.8314424978087942"/>
  </r>
  <r>
    <s v="MR645"/>
    <s v="P. blochii"/>
    <d v="2022-05-08T00:00:00"/>
    <n v="2"/>
    <n v="243"/>
    <n v="220"/>
    <n v="296"/>
    <x v="1"/>
    <x v="0"/>
    <n v="17.87"/>
    <n v="2"/>
    <n v="6.4250530327544672E-2"/>
    <n v="5.4930614433405482"/>
    <n v="5.6903594543240601"/>
  </r>
  <r>
    <s v="MR646"/>
    <s v="P. blochii"/>
    <d v="2022-06-02T00:00:00"/>
    <n v="2"/>
    <n v="249"/>
    <n v="228"/>
    <n v="345.8"/>
    <x v="1"/>
    <x v="2"/>
    <n v="34.25"/>
    <n v="2"/>
    <n v="0.10993419996790242"/>
    <n v="5.5174528964647074"/>
    <n v="5.8458605732491904"/>
  </r>
  <r>
    <s v="MR647"/>
    <s v="P. blochii"/>
    <d v="2022-06-02T00:00:00"/>
    <n v="2"/>
    <n v="232"/>
    <n v="204"/>
    <n v="256.25"/>
    <x v="0"/>
    <x v="0"/>
    <n v="12.7"/>
    <n v="1"/>
    <n v="5.2145350030794492E-2"/>
    <n v="5.4467373716663099"/>
    <n v="5.5461535304526182"/>
  </r>
  <r>
    <s v="MR648"/>
    <s v="P. blochii"/>
    <d v="2022-06-02T00:00:00"/>
    <n v="2"/>
    <n v="251"/>
    <n v="226"/>
    <n v="296"/>
    <x v="1"/>
    <x v="0"/>
    <n v="15.7"/>
    <n v="0"/>
    <n v="5.6011416339636098E-2"/>
    <n v="5.5254529391317835"/>
    <n v="5.6903594543240601"/>
  </r>
  <r>
    <s v="MR649"/>
    <s v="P. blochii"/>
    <d v="2022-08-05T00:00:00"/>
    <n v="3"/>
    <n v="264"/>
    <n v="216"/>
    <n v="383.9"/>
    <x v="0"/>
    <x v="4"/>
    <n v="23.7"/>
    <n v="2"/>
    <n v="6.5796779566907271E-2"/>
    <n v="5.575949103146316"/>
    <n v="5.9503821020067518"/>
  </r>
  <r>
    <s v="MR649"/>
    <s v="P. blochii"/>
    <d v="2022-05-08T00:00:00"/>
    <n v="2"/>
    <n v="264"/>
    <n v="216"/>
    <n v="383"/>
    <x v="0"/>
    <x v="4"/>
    <n v="23.7"/>
    <n v="2"/>
    <n v="6.5961591984414134E-2"/>
    <n v="5.575949103146316"/>
    <n v="5.9480349891806457"/>
  </r>
  <r>
    <s v="MR650"/>
    <s v="P. blochii"/>
    <d v="2022-05-08T00:00:00"/>
    <n v="2"/>
    <n v="269"/>
    <n v="244"/>
    <n v="282.5"/>
    <x v="0"/>
    <x v="5"/>
    <n v="8.34"/>
    <n v="1"/>
    <n v="3.0420192588269619E-2"/>
    <n v="5.5947113796018391"/>
    <n v="5.6436785505864959"/>
  </r>
  <r>
    <s v="MR651"/>
    <s v="P. blochii"/>
    <d v="2022-05-08T00:00:00"/>
    <n v="2"/>
    <n v="255"/>
    <n v="232"/>
    <n v="341.97"/>
    <x v="1"/>
    <x v="1"/>
    <n v="29.37"/>
    <n v="1"/>
    <n v="9.3953934740882913E-2"/>
    <n v="5.5412635451584258"/>
    <n v="5.8347230139167969"/>
  </r>
  <r>
    <s v="MR652"/>
    <s v="P. blochii"/>
    <d v="2022-05-08T00:00:00"/>
    <n v="2"/>
    <n v="262"/>
    <n v="238"/>
    <n v="363.7"/>
    <x v="0"/>
    <x v="1"/>
    <n v="6.73"/>
    <n v="0"/>
    <n v="1.8853124912457633E-2"/>
    <n v="5.5683445037610966"/>
    <n v="5.8963293519929429"/>
  </r>
  <r>
    <s v="MR653"/>
    <s v="P. blochii"/>
    <d v="2022-06-02T00:00:00"/>
    <n v="2"/>
    <n v="251"/>
    <n v="230"/>
    <n v="330.93"/>
    <x v="0"/>
    <x v="2"/>
    <n v="16.399999999999999"/>
    <n v="2"/>
    <n v="5.2141290178997227E-2"/>
    <n v="5.5254529391317835"/>
    <n v="5.8019068726493996"/>
  </r>
  <r>
    <s v="MR654"/>
    <s v="P. blochii"/>
    <d v="2023-05-17T00:00:00"/>
    <n v="2"/>
    <n v="239"/>
    <n v="215"/>
    <n v="255.4"/>
    <x v="1"/>
    <x v="2"/>
    <n v="10.8"/>
    <n v="0"/>
    <n v="4.4153720359771061E-2"/>
    <n v="5.476463551931511"/>
    <n v="5.5428309435984389"/>
  </r>
  <r>
    <s v="MR655"/>
    <s v="P. blochii"/>
    <d v="2023-05-17T00:00:00"/>
    <n v="2"/>
    <n v="318"/>
    <n v="293"/>
    <n v="653.29999999999995"/>
    <x v="0"/>
    <x v="0"/>
    <n v="64.5"/>
    <n v="1"/>
    <n v="0.10954483695652174"/>
    <n v="5.7620513827801769"/>
    <n v="6.4820364418467049"/>
  </r>
  <r>
    <s v="MR656"/>
    <s v="P. blochii"/>
    <d v="2023-05-17T00:00:00"/>
    <n v="2"/>
    <n v="255"/>
    <n v="232"/>
    <n v="286.60000000000002"/>
    <x v="1"/>
    <x v="1"/>
    <n v="1.3"/>
    <n v="1"/>
    <n v="4.5566070802663863E-3"/>
    <n v="5.5412635451584258"/>
    <n v="5.6580875153940715"/>
  </r>
  <r>
    <s v="MR657"/>
    <s v="P. blochii"/>
    <d v="2023-05-17T00:00:00"/>
    <n v="2"/>
    <n v="242"/>
    <n v="220"/>
    <n v="266.5"/>
    <x v="0"/>
    <x v="0"/>
    <n v="12.6"/>
    <n v="0"/>
    <n v="4.9625836943678614E-2"/>
    <n v="5.4889377261566867"/>
    <n v="5.5853742436058988"/>
  </r>
  <r>
    <s v="MR658"/>
    <s v="P. blochii"/>
    <d v="2023-05-17T00:00:00"/>
    <n v="2"/>
    <n v="234"/>
    <n v="211"/>
    <n v="224"/>
    <x v="1"/>
    <x v="0"/>
    <n v="5.7"/>
    <n v="1"/>
    <n v="2.6110856619331196E-2"/>
    <n v="5.4553211153577017"/>
    <n v="5.4116460518550396"/>
  </r>
  <r>
    <s v="MR659"/>
    <s v="P. blochii"/>
    <d v="2023-08-12T00:00:00"/>
    <n v="3"/>
    <n v="272"/>
    <n v="248"/>
    <n v="342"/>
    <x v="0"/>
    <x v="0"/>
    <n v="9.6999999999999993"/>
    <n v="1"/>
    <n v="2.9190490520613899E-2"/>
    <n v="5.6058020662959978"/>
    <n v="5.8348107370626048"/>
  </r>
  <r>
    <s v="MR660"/>
    <s v="P. blochii"/>
    <d v="2023-08-06T00:00:00"/>
    <n v="3"/>
    <n v="307"/>
    <n v="275"/>
    <n v="432"/>
    <x v="1"/>
    <x v="1"/>
    <n v="12.9"/>
    <n v="0"/>
    <n v="3.0780243378668574E-2"/>
    <n v="5.7268477475871968"/>
    <n v="6.0684255882441107"/>
  </r>
  <r>
    <s v="MR661"/>
    <s v="P. blochii"/>
    <d v="2023-08-06T00:00:00"/>
    <n v="3"/>
    <n v="295"/>
    <n v="267"/>
    <n v="439.3"/>
    <x v="0"/>
    <x v="0"/>
    <n v="14"/>
    <n v="1"/>
    <n v="3.2917940277451208E-2"/>
    <n v="5.6869753563398202"/>
    <n v="6.0851825509817337"/>
  </r>
  <r>
    <s v="MR662"/>
    <s v="P. blochii"/>
    <d v="2023-08-12T00:00:00"/>
    <n v="3"/>
    <n v="281"/>
    <n v="263"/>
    <n v="413.3"/>
    <x v="0"/>
    <x v="1"/>
    <n v="13.7"/>
    <n v="1"/>
    <n v="3.4284284284284282E-2"/>
    <n v="5.6383546693337454"/>
    <n v="6.0241737215176867"/>
  </r>
  <r>
    <s v="MR663"/>
    <s v="P. blochii"/>
    <d v="2023-08-12T00:00:00"/>
    <n v="3"/>
    <n v="251"/>
    <n v="228"/>
    <n v="292.10000000000002"/>
    <x v="0"/>
    <x v="1"/>
    <n v="5.6"/>
    <n v="2"/>
    <n v="1.9546247818499125E-2"/>
    <n v="5.5254529391317835"/>
    <n v="5.677096209393695"/>
  </r>
  <r>
    <s v="MR664"/>
    <s v="P. blochii"/>
    <d v="2023-08-12T00:00:00"/>
    <n v="3"/>
    <n v="262"/>
    <n v="242"/>
    <n v="355.8"/>
    <x v="1"/>
    <x v="1"/>
    <n v="5.6"/>
    <n v="1"/>
    <n v="1.5990862364363222E-2"/>
    <n v="5.5683445037610966"/>
    <n v="5.8743687752317344"/>
  </r>
  <r>
    <s v="MR665"/>
    <s v="P. blochii"/>
    <d v="2023-08-12T00:00:00"/>
    <n v="3"/>
    <n v="270"/>
    <n v="243"/>
    <n v="326.5"/>
    <x v="1"/>
    <x v="0"/>
    <n v="11.7"/>
    <n v="0"/>
    <n v="3.7166454891994917E-2"/>
    <n v="5.598421958998375"/>
    <n v="5.7884299487164856"/>
  </r>
  <r>
    <s v="MR666"/>
    <s v="P. blochii"/>
    <d v="2023-03-24T00:00:00"/>
    <n v="1"/>
    <n v="285"/>
    <n v="259"/>
    <n v="410.6"/>
    <x v="0"/>
    <x v="1"/>
    <n v="8.85"/>
    <n v="1"/>
    <n v="2.2028624766645924E-2"/>
    <n v="5.6524891802686508"/>
    <n v="6.0176195045848333"/>
  </r>
  <r>
    <s v="MR667"/>
    <s v="P. blochii"/>
    <d v="2023-03-24T00:00:00"/>
    <n v="1"/>
    <n v="262"/>
    <n v="237"/>
    <n v="346.8"/>
    <x v="0"/>
    <x v="0"/>
    <n v="9.1999999999999993"/>
    <n v="2"/>
    <n v="2.725118483412322E-2"/>
    <n v="5.5683445037610966"/>
    <n v="5.8487482449063872"/>
  </r>
  <r>
    <s v="MR668"/>
    <s v="P. blochii"/>
    <d v="2023-03-24T00:00:00"/>
    <n v="1"/>
    <n v="270"/>
    <n v="243"/>
    <n v="352.3"/>
    <x v="1"/>
    <x v="1"/>
    <n v="6.1"/>
    <n v="1"/>
    <n v="1.7619872905834777E-2"/>
    <n v="5.598421958998375"/>
    <n v="5.8644830853471923"/>
  </r>
  <r>
    <s v="MR669"/>
    <s v="P. blochii"/>
    <d v="2023-03-24T00:00:00"/>
    <n v="1"/>
    <n v="276"/>
    <n v="257"/>
    <n v="388.4"/>
    <x v="0"/>
    <x v="1"/>
    <n v="6.5"/>
    <n v="1"/>
    <n v="1.7020162346163919E-2"/>
    <n v="5.6204008657171496"/>
    <n v="5.9620357364171701"/>
  </r>
  <r>
    <s v="MR670"/>
    <s v="P. blochii"/>
    <d v="2023-06-01T00:00:00"/>
    <n v="2"/>
    <n v="326"/>
    <n v="294"/>
    <n v="617.5"/>
    <x v="1"/>
    <x v="0"/>
    <n v="17.2"/>
    <n v="1"/>
    <n v="2.8652340496418457E-2"/>
    <n v="5.7868973813667077"/>
    <n v="6.4256790685021326"/>
  </r>
  <r>
    <s v="MR671"/>
    <s v="P. blochii"/>
    <d v="2023-06-01T00:00:00"/>
    <n v="2"/>
    <n v="245"/>
    <n v="224"/>
    <n v="264.3"/>
    <x v="0"/>
    <x v="4"/>
    <n v="2.8"/>
    <n v="1"/>
    <n v="1.0707456978967494E-2"/>
    <n v="5.5012582105447274"/>
    <n v="5.577084821610244"/>
  </r>
  <r>
    <s v="MR672"/>
    <s v="P. blochii"/>
    <d v="2023-06-01T00:00:00"/>
    <n v="2"/>
    <n v="291"/>
    <n v="266"/>
    <n v="420.5"/>
    <x v="0"/>
    <x v="2"/>
    <n v="26"/>
    <n v="1"/>
    <n v="6.5906210392902412E-2"/>
    <n v="5.6733232671714928"/>
    <n v="6.0414444794130029"/>
  </r>
  <r>
    <s v="MR673"/>
    <s v="P. blochii"/>
    <d v="2023-06-01T00:00:00"/>
    <n v="2"/>
    <n v="258"/>
    <n v="232"/>
    <n v="314"/>
    <x v="0"/>
    <x v="4"/>
    <n v="4"/>
    <n v="0"/>
    <n v="1.2903225806451613E-2"/>
    <n v="5.5529595849216173"/>
    <n v="5.7493929859082531"/>
  </r>
  <r>
    <s v="MR674"/>
    <s v="P. blochii"/>
    <d v="2023-07-25T00:00:00"/>
    <n v="3"/>
    <n v="313"/>
    <n v="287"/>
    <n v="525"/>
    <x v="0"/>
    <x v="0"/>
    <n v="23.5"/>
    <n v="2"/>
    <n v="4.6859421734795612E-2"/>
    <n v="5.7462031905401529"/>
    <n v="6.2633982625916236"/>
  </r>
  <r>
    <s v="MR675"/>
    <s v="P. blochii"/>
    <d v="2023-04-12T00:00:00"/>
    <n v="2"/>
    <n v="278"/>
    <n v="250"/>
    <n v="379"/>
    <x v="0"/>
    <x v="0"/>
    <n v="9.6"/>
    <n v="0"/>
    <n v="2.5988088792636709E-2"/>
    <n v="5.6276211136906369"/>
    <n v="5.9375362050824263"/>
  </r>
  <r>
    <s v="MR676"/>
    <s v="P. blochii"/>
    <d v="2023-08-12T00:00:00"/>
    <n v="3"/>
    <n v="273"/>
    <n v="240"/>
    <n v="365"/>
    <x v="1"/>
    <x v="4"/>
    <n v="2.0499999999999998"/>
    <n v="0"/>
    <n v="5.6481609037057441E-3"/>
    <n v="5.6094717951849598"/>
    <n v="5.8998973535824915"/>
  </r>
  <r>
    <s v="MR677"/>
    <s v="P. blochii"/>
    <d v="2023-06-06T00:00:00"/>
    <n v="2"/>
    <n v="399"/>
    <n v="361"/>
    <n v="1064.7"/>
    <x v="1"/>
    <x v="0"/>
    <n v="18.8"/>
    <n v="0"/>
    <n v="1.7974949803996557E-2"/>
    <n v="5.9889614168898637"/>
    <n v="6.9704483483205602"/>
  </r>
  <r>
    <s v="MR678"/>
    <s v="P. blochii"/>
    <d v="2023-08-06T00:00:00"/>
    <n v="3"/>
    <n v="260"/>
    <n v="240"/>
    <n v="334.1"/>
    <x v="0"/>
    <x v="5"/>
    <n v="12.2"/>
    <n v="0"/>
    <n v="3.7899968934451689E-2"/>
    <n v="5.5606816310155276"/>
    <n v="5.8114403493627105"/>
  </r>
  <r>
    <s v="MR679"/>
    <s v="P. blochii"/>
    <d v="2023-07-25T00:00:00"/>
    <n v="3"/>
    <n v="365"/>
    <n v="331"/>
    <n v="819.6"/>
    <x v="1"/>
    <x v="1"/>
    <n v="10.4"/>
    <n v="0"/>
    <n v="1.2852199703410776E-2"/>
    <n v="5.8998973535824915"/>
    <n v="6.708816416364745"/>
  </r>
  <r>
    <s v="MR680"/>
    <s v="P. blochii"/>
    <d v="2023-07-25T00:00:00"/>
    <n v="3"/>
    <n v="273"/>
    <n v="242"/>
    <n v="339.7"/>
    <x v="0"/>
    <x v="1"/>
    <n v="7.95"/>
    <n v="1"/>
    <n v="2.3963828183873399E-2"/>
    <n v="5.6094717951849598"/>
    <n v="5.8280628751665384"/>
  </r>
  <r>
    <s v="MR681"/>
    <s v="P. blochii"/>
    <d v="2023-05-01T00:00:00"/>
    <n v="2"/>
    <n v="275"/>
    <n v="252"/>
    <n v="389"/>
    <x v="1"/>
    <x v="1"/>
    <n v="13.8"/>
    <n v="1"/>
    <n v="3.6780383795309173E-2"/>
    <n v="5.6167710976665717"/>
    <n v="5.9635793436184459"/>
  </r>
  <r>
    <s v="MR682"/>
    <s v="P. blochii"/>
    <d v="2023-06-01T00:00:00"/>
    <n v="2"/>
    <n v="265"/>
    <n v="240"/>
    <n v="346.6"/>
    <x v="0"/>
    <x v="1"/>
    <n v="8.15"/>
    <n v="1"/>
    <n v="2.4080366376126455E-2"/>
    <n v="5.579729825986222"/>
    <n v="5.8481713772815054"/>
  </r>
  <r>
    <s v="MR686"/>
    <s v="P. blochii"/>
    <d v="2023-05-01T00:00:00"/>
    <n v="2"/>
    <n v="338"/>
    <n v="316"/>
    <n v="831.4"/>
    <x v="1"/>
    <x v="2"/>
    <n v="55.3"/>
    <n v="2"/>
    <n v="7.1253704419533562E-2"/>
    <n v="5.8230458954830189"/>
    <n v="6.723111026818537"/>
  </r>
  <r>
    <s v="MR687"/>
    <s v="P. blochii"/>
    <d v="2023-05-01T00:00:00"/>
    <n v="2"/>
    <n v="372"/>
    <n v="345"/>
    <n v="1095.5"/>
    <x v="0"/>
    <x v="0"/>
    <n v="86.7"/>
    <n v="1"/>
    <n v="8.5943695479777954E-2"/>
    <n v="5.9188938542731462"/>
    <n v="6.998966159035521"/>
  </r>
  <r>
    <s v="MR688"/>
    <s v="P. blochii"/>
    <d v="2023-05-17T00:00:00"/>
    <n v="2"/>
    <n v="334"/>
    <n v="301"/>
    <n v="763.6"/>
    <x v="0"/>
    <x v="2"/>
    <n v="55"/>
    <m/>
    <n v="7.7617837990403615E-2"/>
    <n v="5.8111409929767008"/>
    <n v="6.6380440918515928"/>
  </r>
  <r>
    <s v="MR689"/>
    <s v="P. blochii"/>
    <d v="2023-05-17T00:00:00"/>
    <n v="2"/>
    <n v="286"/>
    <n v="257"/>
    <n v="494.6"/>
    <x v="0"/>
    <x v="0"/>
    <n v="27.2"/>
    <n v="0"/>
    <n v="5.8194266153187839E-2"/>
    <n v="5.6559918108198524"/>
    <n v="6.2037493550873162"/>
  </r>
  <r>
    <s v="MR690"/>
    <s v="P. blochii"/>
    <d v="2023-05-17T00:00:00"/>
    <n v="2"/>
    <n v="225"/>
    <n v="210"/>
    <n v="210.6"/>
    <x v="0"/>
    <x v="4"/>
    <n v="4.5"/>
    <n v="1"/>
    <n v="2.1834061135371181E-2"/>
    <n v="5.4161004022044201"/>
    <n v="5.3499605996998749"/>
  </r>
  <r>
    <s v="MR691"/>
    <s v="P. blochii"/>
    <d v="2023-05-17T00:00:00"/>
    <n v="2"/>
    <n v="275"/>
    <n v="265"/>
    <n v="474"/>
    <x v="1"/>
    <x v="0"/>
    <n v="16.399999999999999"/>
    <n v="2"/>
    <n v="3.5839160839160833E-2"/>
    <n v="5.6167710976665717"/>
    <n v="6.1612073216950769"/>
  </r>
  <r>
    <s v="MR692"/>
    <s v="P. blochii"/>
    <d v="2023-05-17T00:00:00"/>
    <n v="2"/>
    <n v="259"/>
    <n v="232"/>
    <n v="294.89999999999998"/>
    <x v="0"/>
    <x v="1"/>
    <n v="10.199999999999999"/>
    <n v="1"/>
    <n v="3.5827186512118019E-2"/>
    <n v="5.5568280616995374"/>
    <n v="5.6866363158212305"/>
  </r>
  <r>
    <s v="MR693"/>
    <s v="P. blochii"/>
    <d v="2023-05-17T00:00:00"/>
    <n v="2"/>
    <n v="261"/>
    <n v="239"/>
    <n v="291.60000000000002"/>
    <x v="0"/>
    <x v="1"/>
    <n v="15.4"/>
    <n v="1"/>
    <n v="5.5756698044894998E-2"/>
    <n v="5.5645204073226937"/>
    <n v="5.6753830001345031"/>
  </r>
  <r>
    <s v="MR694"/>
    <s v="P. blochii"/>
    <d v="2023-06-01T00:00:00"/>
    <n v="2"/>
    <n v="283"/>
    <n v="257"/>
    <n v="400.7"/>
    <x v="1"/>
    <x v="1"/>
    <n v="6.25"/>
    <n v="1"/>
    <n v="1.5844847255672454E-2"/>
    <n v="5.6454468976432377"/>
    <n v="5.9932130176420992"/>
  </r>
  <r>
    <s v="MR695"/>
    <s v="P. blochii"/>
    <d v="2023-08-06T00:00:00"/>
    <n v="3"/>
    <n v="302"/>
    <n v="275"/>
    <n v="531.9"/>
    <x v="1"/>
    <x v="0"/>
    <n v="25.1"/>
    <n v="1"/>
    <n v="4.9526440410418315E-2"/>
    <n v="5.7104270173748697"/>
    <n v="6.2764555017482717"/>
  </r>
  <r>
    <s v="MR696"/>
    <s v="P. blochii"/>
    <d v="2023-07-25T00:00:00"/>
    <n v="3"/>
    <n v="335"/>
    <n v="306"/>
    <n v="665"/>
    <x v="1"/>
    <x v="0"/>
    <n v="10.55"/>
    <n v="1"/>
    <n v="1.612040644816258E-2"/>
    <n v="5.8141305318250662"/>
    <n v="6.4997870406558542"/>
  </r>
  <r>
    <s v="MR697"/>
    <s v="P. blochii"/>
    <d v="2023-07-25T00:00:00"/>
    <n v="3"/>
    <n v="353"/>
    <n v="320"/>
    <n v="797.1"/>
    <x v="0"/>
    <x v="0"/>
    <n v="46.9"/>
    <n v="0"/>
    <n v="6.2516662223407085E-2"/>
    <n v="5.8664680569332965"/>
    <n v="6.6809801414338779"/>
  </r>
  <r>
    <s v="MR698"/>
    <s v="P. blochii"/>
    <d v="2023-05-17T00:00:00"/>
    <n v="2"/>
    <n v="302"/>
    <n v="278"/>
    <n v="568.1"/>
    <x v="0"/>
    <x v="0"/>
    <n v="47.8"/>
    <n v="1"/>
    <n v="9.1870074956755698E-2"/>
    <n v="5.7104270173748697"/>
    <n v="6.3422974595630812"/>
  </r>
  <r>
    <s v="MR699"/>
    <s v="P. blochii"/>
    <d v="2023-05-01T00:00:00"/>
    <n v="2"/>
    <n v="410"/>
    <n v="390"/>
    <n v="1464.9"/>
    <x v="0"/>
    <x v="2"/>
    <n v="88.9"/>
    <n v="0"/>
    <n v="6.4607558139534893E-2"/>
    <n v="6.0161571596983539"/>
    <n v="7.2895422597357244"/>
  </r>
  <r>
    <s v="MR700"/>
    <s v="P. blochii"/>
    <d v="2023-05-01T00:00:00"/>
    <n v="2"/>
    <n v="357"/>
    <n v="323"/>
    <n v="1001.8"/>
    <x v="1"/>
    <x v="0"/>
    <n v="109.4"/>
    <n v="1"/>
    <n v="0.1225907664724339"/>
    <n v="5.8777357817796387"/>
    <n v="6.9095536609235166"/>
  </r>
  <r>
    <s v="MR701"/>
    <s v="P. blochii"/>
    <d v="2023-03-24T00:00:00"/>
    <n v="1"/>
    <n v="266"/>
    <n v="238"/>
    <n v="374.9"/>
    <x v="1"/>
    <x v="4"/>
    <n v="10.9"/>
    <n v="1"/>
    <n v="2.9945054945054946E-2"/>
    <n v="5.5834963087816991"/>
    <n v="5.9266593237418661"/>
  </r>
  <r>
    <s v="MR702"/>
    <s v="P. blochii"/>
    <d v="2022-09-29T00:00:00"/>
    <n v="3"/>
    <n v="252"/>
    <n v="234"/>
    <n v="320.3"/>
    <x v="0"/>
    <x v="4"/>
    <n v="4.0999999999999996"/>
    <n v="1"/>
    <n v="1.2966476913345983E-2"/>
    <n v="5.5294290875114234"/>
    <n v="5.7692580566151124"/>
  </r>
  <r>
    <s v="MR716"/>
    <s v="P. blochii"/>
    <d v="2023-03-24T00:00:00"/>
    <n v="1"/>
    <n v="316"/>
    <n v="287"/>
    <n v="591.5"/>
    <x v="0"/>
    <x v="4"/>
    <n v="10.15"/>
    <m/>
    <n v="1.7459361830222758E-2"/>
    <n v="5.7557422135869123"/>
    <n v="6.3826616834184415"/>
  </r>
  <r>
    <s v="MR717"/>
    <s v="P. blochii"/>
    <d v="2023-03-24T00:00:00"/>
    <n v="1"/>
    <n v="284"/>
    <n v="260"/>
    <n v="460"/>
    <x v="0"/>
    <x v="0"/>
    <n v="10.85"/>
    <n v="1"/>
    <n v="2.4156740509851941E-2"/>
    <n v="5.6489742381612063"/>
    <n v="6.131226489483141"/>
  </r>
  <r>
    <s v="MR722"/>
    <s v="P. blochii"/>
    <d v="2023-06-01T00:00:00"/>
    <n v="2"/>
    <n v="230"/>
    <n v="204"/>
    <n v="223.4"/>
    <x v="0"/>
    <x v="4"/>
    <n v="3.05"/>
    <n v="2"/>
    <n v="1.3841615611527115E-2"/>
    <n v="5.4380793089231956"/>
    <n v="5.4089638866351004"/>
  </r>
  <r>
    <s v="MR723"/>
    <s v="P. blochii"/>
    <d v="2024-07-20T00:00:00"/>
    <n v="3"/>
    <n v="271"/>
    <n v="247"/>
    <n v="377"/>
    <x v="0"/>
    <x v="0"/>
    <n v="11.4"/>
    <n v="1"/>
    <n v="3.1181619256017503E-2"/>
    <n v="5.602118820879701"/>
    <n v="5.9322451874480109"/>
  </r>
  <r>
    <s v="MR724"/>
    <s v="P. blochii"/>
    <d v="2024-02-12T00:00:00"/>
    <n v="1"/>
    <n v="351"/>
    <n v="319"/>
    <n v="787"/>
    <x v="1"/>
    <x v="4"/>
    <n v="2.7"/>
    <n v="2"/>
    <n v="3.4425602448042844E-3"/>
    <n v="5.8607862234658654"/>
    <n v="6.6682282484174031"/>
  </r>
  <r>
    <s v="MR725"/>
    <s v="P. blochii"/>
    <d v="2024-02-12T00:00:00"/>
    <n v="1"/>
    <n v="334"/>
    <n v="303"/>
    <n v="792"/>
    <x v="0"/>
    <x v="0"/>
    <n v="19"/>
    <n v="2"/>
    <n v="2.4579560155239329E-2"/>
    <n v="5.8111409929767008"/>
    <n v="6.674561391814426"/>
  </r>
  <r>
    <s v="MR726"/>
    <s v="P. blochii"/>
    <d v="2024-02-12T00:00:00"/>
    <n v="1"/>
    <n v="315"/>
    <n v="290"/>
    <n v="595"/>
    <x v="1"/>
    <x v="1"/>
    <n v="2.87"/>
    <n v="1"/>
    <n v="4.8469086180399574E-3"/>
    <n v="5.7525726388256331"/>
    <n v="6.3885614055456301"/>
  </r>
  <r>
    <s v="MR727"/>
    <s v="P. blochii"/>
    <d v="2024-06-13T00:00:00"/>
    <n v="2"/>
    <n v="220"/>
    <n v="210"/>
    <n v="204"/>
    <x v="0"/>
    <x v="1"/>
    <n v="3.4"/>
    <n v="0"/>
    <n v="1.6949152542372881E-2"/>
    <n v="5.393627546352362"/>
    <n v="5.3181199938442161"/>
  </r>
  <r>
    <s v="MR728"/>
    <s v="P. blochii"/>
    <d v="2024-06-13T00:00:00"/>
    <n v="2"/>
    <n v="261"/>
    <n v="233"/>
    <n v="347"/>
    <x v="0"/>
    <x v="0"/>
    <n v="10.3"/>
    <n v="0"/>
    <n v="3.0591030591030594E-2"/>
    <n v="5.5645204073226937"/>
    <n v="5.8493247799468593"/>
  </r>
  <r>
    <s v="MR729"/>
    <s v="P. blochii"/>
    <d v="2024-06-13T00:00:00"/>
    <n v="2"/>
    <n v="265"/>
    <n v="237"/>
    <n v="326"/>
    <x v="0"/>
    <x v="0"/>
    <n v="11.7"/>
    <n v="1"/>
    <n v="3.722558065542475E-2"/>
    <n v="5.579729825986222"/>
    <n v="5.7868973813667077"/>
  </r>
  <r>
    <s v="MR730"/>
    <s v="P. blochii"/>
    <d v="2024-06-13T00:00:00"/>
    <n v="2"/>
    <n v="210"/>
    <n v="190"/>
    <n v="174"/>
    <x v="0"/>
    <x v="0"/>
    <n v="10.5"/>
    <n v="1"/>
    <n v="6.4220183486238536E-2"/>
    <n v="5.3471075307174685"/>
    <n v="5.1590552992145291"/>
  </r>
  <r>
    <s v="MR731"/>
    <s v="P. blochii"/>
    <d v="2024-01-05T00:00:00"/>
    <n v="1"/>
    <n v="220"/>
    <n v="203"/>
    <n v="207"/>
    <x v="0"/>
    <x v="4"/>
    <n v="2.52"/>
    <n v="1"/>
    <n v="1.2323943661971832E-2"/>
    <n v="5.393627546352362"/>
    <n v="5.3327187932653688"/>
  </r>
  <r>
    <s v="MR732"/>
    <s v="P. blochii"/>
    <d v="2024-01-05T00:00:00"/>
    <n v="1"/>
    <n v="228"/>
    <n v="213"/>
    <n v="212"/>
    <x v="0"/>
    <x v="4"/>
    <n v="25"/>
    <n v="0"/>
    <n v="0.13368983957219252"/>
    <n v="5.4293456289544411"/>
    <n v="5.3565862746720123"/>
  </r>
  <r>
    <s v="MR733"/>
    <s v="P. blochii"/>
    <d v="2024-01-05T00:00:00"/>
    <n v="1"/>
    <n v="225"/>
    <n v="207"/>
    <n v="211"/>
    <x v="0"/>
    <x v="0"/>
    <n v="2.57"/>
    <n v="1"/>
    <n v="1.2330278750659692E-2"/>
    <n v="5.4161004022044201"/>
    <n v="5.3518581334760666"/>
  </r>
  <r>
    <s v="MR734"/>
    <s v="P. blochii"/>
    <d v="2024-01-05T00:00:00"/>
    <n v="1"/>
    <n v="249"/>
    <n v="225"/>
    <n v="290"/>
    <x v="1"/>
    <x v="7"/>
    <n v="0.31"/>
    <n v="1"/>
    <n v="1.0701094273188581E-3"/>
    <n v="5.5174528964647074"/>
    <n v="5.6698809229805196"/>
  </r>
  <r>
    <s v="MR735"/>
    <s v="P. blochii"/>
    <d v="2024-01-05T00:00:00"/>
    <n v="1"/>
    <n v="264"/>
    <n v="210"/>
    <n v="331"/>
    <x v="1"/>
    <x v="5"/>
    <n v="1.3"/>
    <n v="2"/>
    <n v="3.9429784652714591E-3"/>
    <n v="5.575949103146316"/>
    <n v="5.8021183753770629"/>
  </r>
  <r>
    <s v="MR736"/>
    <s v="P. blochii"/>
    <d v="2024-07-20T00:00:00"/>
    <n v="3"/>
    <n v="243"/>
    <n v="217"/>
    <n v="250"/>
    <x v="1"/>
    <x v="2"/>
    <n v="11.2"/>
    <n v="0"/>
    <n v="4.690117252931323E-2"/>
    <n v="5.4930614433405482"/>
    <n v="5.521460917862246"/>
  </r>
  <r>
    <s v="MR737"/>
    <s v="P. blochii"/>
    <d v="2024-07-20T00:00:00"/>
    <n v="3"/>
    <n v="246"/>
    <n v="219"/>
    <n v="255"/>
    <x v="1"/>
    <x v="0"/>
    <n v="4.8"/>
    <n v="1"/>
    <n v="1.9184652278177457E-2"/>
    <n v="5.5053315359323625"/>
    <n v="5.5412635451584258"/>
  </r>
  <r>
    <s v="MR738"/>
    <s v="P. blochii"/>
    <d v="2024-07-20T00:00:00"/>
    <n v="3"/>
    <n v="235"/>
    <n v="213"/>
    <n v="210"/>
    <x v="1"/>
    <x v="0"/>
    <n v="3.1"/>
    <n v="0"/>
    <n v="1.4983083615273078E-2"/>
    <n v="5.4595855141441589"/>
    <n v="5.3471075307174685"/>
  </r>
  <r>
    <s v="MR739"/>
    <s v="P. blochii"/>
    <d v="2024-07-22T00:00:00"/>
    <n v="3"/>
    <n v="252"/>
    <n v="231"/>
    <n v="305"/>
    <x v="0"/>
    <x v="0"/>
    <n v="8"/>
    <n v="1"/>
    <n v="2.6936026936026935E-2"/>
    <n v="5.5294290875114234"/>
    <n v="5.7203117766074119"/>
  </r>
  <r>
    <s v="MR740"/>
    <s v="P. blochii"/>
    <d v="2024-06-13T00:00:00"/>
    <n v="2"/>
    <n v="231"/>
    <n v="207"/>
    <n v="238"/>
    <x v="0"/>
    <x v="1"/>
    <n v="2.57"/>
    <n v="0"/>
    <n v="1.0916195896869556E-2"/>
    <n v="5.4424177105217932"/>
    <n v="5.472270673671475"/>
  </r>
  <r>
    <s v="MR741"/>
    <s v="P. blochii"/>
    <d v="2024-06-13T00:00:00"/>
    <n v="2"/>
    <n v="188"/>
    <n v="174"/>
    <n v="138"/>
    <x v="0"/>
    <x v="1"/>
    <n v="2.4900000000000002"/>
    <n v="0"/>
    <n v="1.8375027673234449E-2"/>
    <n v="5.2364419628299492"/>
    <n v="4.9272536851572051"/>
  </r>
  <r>
    <s v="MR742"/>
    <s v="P. blochii"/>
    <d v="2024-06-13T00:00:00"/>
    <n v="2"/>
    <n v="203"/>
    <n v="182"/>
    <n v="152"/>
    <x v="0"/>
    <x v="0"/>
    <n v="2.65"/>
    <n v="0"/>
    <n v="1.7743555406762639E-2"/>
    <n v="5.3132059790417872"/>
    <n v="5.0238805208462765"/>
  </r>
  <r>
    <s v="MR743"/>
    <s v="P. blochii"/>
    <d v="2024-07-20T00:00:00"/>
    <n v="3"/>
    <n v="180"/>
    <n v="167"/>
    <n v="129"/>
    <x v="0"/>
    <x v="2"/>
    <n v="8.1999999999999993"/>
    <n v="1"/>
    <n v="6.7880794701986755E-2"/>
    <n v="5.1929568508902104"/>
    <n v="4.8598124043616719"/>
  </r>
  <r>
    <s v="MR744"/>
    <s v="P. blochii"/>
    <d v="2024-06-20T00:00:00"/>
    <n v="2"/>
    <n v="209"/>
    <m/>
    <n v="175"/>
    <x v="0"/>
    <x v="1"/>
    <n v="2.2999999999999998"/>
    <n v="0"/>
    <n v="1.3317892298784018E-2"/>
    <n v="5.3423342519648109"/>
    <n v="5.1647859739235145"/>
  </r>
  <r>
    <s v="MR745"/>
    <s v="P. blochii"/>
    <d v="2024-06-20T00:00:00"/>
    <n v="2"/>
    <n v="201"/>
    <n v="180"/>
    <n v="151"/>
    <x v="0"/>
    <x v="1"/>
    <n v="5"/>
    <n v="0"/>
    <n v="3.4246575342465752E-2"/>
    <n v="5.3033049080590757"/>
    <n v="5.0172798368149243"/>
  </r>
  <r>
    <s v="MR746"/>
    <s v="P. blochii"/>
    <d v="2024-11-08T00:00:00"/>
    <n v="4"/>
    <n v="303"/>
    <n v="279"/>
    <n v="542"/>
    <x v="0"/>
    <x v="1"/>
    <n v="18.2"/>
    <n v="1"/>
    <n v="3.4746086292478044E-2"/>
    <n v="5.7137328055093688"/>
    <n v="6.2952660014396464"/>
  </r>
  <r>
    <s v="MR747"/>
    <s v="P. blochii"/>
    <d v="2023-11-08T00:00:00"/>
    <n v="4"/>
    <n v="269"/>
    <n v="243"/>
    <n v="352"/>
    <x v="1"/>
    <x v="4"/>
    <n v="1.51"/>
    <n v="0"/>
    <n v="4.3082541584638645E-3"/>
    <n v="5.5947113796018391"/>
    <n v="5.8636311755980968"/>
  </r>
  <r>
    <s v="MR748"/>
    <s v="P. blochii"/>
    <d v="2024-01-05T00:00:00"/>
    <n v="1"/>
    <n v="225"/>
    <n v="206"/>
    <n v="208"/>
    <x v="1"/>
    <x v="4"/>
    <n v="0.36"/>
    <n v="2"/>
    <n v="1.7337699865151224E-3"/>
    <n v="5.4161004022044201"/>
    <n v="5.3375380797013179"/>
  </r>
  <r>
    <s v="MR749"/>
    <s v="P. blochii"/>
    <d v="2024-01-05T00:00:00"/>
    <n v="1"/>
    <n v="254"/>
    <n v="234"/>
    <n v="307"/>
    <x v="0"/>
    <x v="7"/>
    <n v="3"/>
    <n v="1"/>
    <n v="9.8684210526315784E-3"/>
    <n v="5.5373342670185366"/>
    <n v="5.7268477475871968"/>
  </r>
  <r>
    <s v="MR750"/>
    <s v="P. blochii"/>
    <d v="2024-01-05T00:00:00"/>
    <n v="1"/>
    <n v="222"/>
    <n v="205"/>
    <n v="235"/>
    <x v="0"/>
    <x v="4"/>
    <n v="3.3"/>
    <n v="1"/>
    <n v="1.4242555028053517E-2"/>
    <n v="5.4026773818722793"/>
    <n v="5.4595855141441589"/>
  </r>
  <r>
    <s v="MR751"/>
    <s v="P. blochii"/>
    <d v="2024-01-05T00:00:00"/>
    <n v="1"/>
    <n v="240"/>
    <n v="224"/>
    <n v="238"/>
    <x v="0"/>
    <x v="4"/>
    <n v="3"/>
    <n v="1"/>
    <n v="1.276595744680851E-2"/>
    <n v="5.4806389233419912"/>
    <n v="5.472270673671475"/>
  </r>
  <r>
    <s v="MR752"/>
    <s v="P. blochii"/>
    <d v="2024-04-21T00:00:00"/>
    <n v="2"/>
    <n v="289"/>
    <n v="264"/>
    <n v="511"/>
    <x v="1"/>
    <x v="2"/>
    <n v="34.200000000000003"/>
    <n v="0"/>
    <n v="7.1728187919463088E-2"/>
    <n v="5.6664266881124323"/>
    <n v="6.2363695902037044"/>
  </r>
  <r>
    <s v="MR753"/>
    <s v="P. blochii"/>
    <d v="2024-04-21T00:00:00"/>
    <n v="2"/>
    <n v="287"/>
    <n v="271"/>
    <n v="516"/>
    <x v="1"/>
    <x v="2"/>
    <n v="20.100000000000001"/>
    <n v="2"/>
    <n v="4.0532365396249249E-2"/>
    <n v="5.6594822157596214"/>
    <n v="6.2461067654815627"/>
  </r>
  <r>
    <s v="MR754"/>
    <s v="P. blochii"/>
    <d v="2024-07-20T00:00:00"/>
    <n v="3"/>
    <n v="226"/>
    <n v="206"/>
    <n v="273"/>
    <x v="1"/>
    <x v="2"/>
    <n v="12"/>
    <n v="1"/>
    <n v="4.5977011494252873E-2"/>
    <n v="5.4205349992722862"/>
    <n v="5.6094717951849598"/>
  </r>
  <r>
    <s v="MR755"/>
    <s v="P. blochii"/>
    <d v="2023-09-27T00:00:00"/>
    <n v="3"/>
    <n v="284"/>
    <n v="259"/>
    <n v="363"/>
    <x v="0"/>
    <x v="4"/>
    <n v="3.24"/>
    <n v="0"/>
    <n v="9.0060040026684468E-3"/>
    <n v="5.6489742381612063"/>
    <n v="5.8944028342648505"/>
  </r>
  <r>
    <s v="MR756"/>
    <s v="P. blochii"/>
    <d v="2023-09-27T00:00:00"/>
    <n v="3"/>
    <n v="293"/>
    <n v="263"/>
    <n v="396"/>
    <x v="0"/>
    <x v="1"/>
    <n v="7.51"/>
    <n v="1"/>
    <n v="1.9331256917809982E-2"/>
    <n v="5.6801726090170677"/>
    <n v="5.9814142112544806"/>
  </r>
  <r>
    <s v="MR757"/>
    <s v="P. blochii"/>
    <d v="2024-07-20T00:00:00"/>
    <n v="3"/>
    <n v="250"/>
    <n v="229"/>
    <n v="295"/>
    <x v="1"/>
    <x v="2"/>
    <n v="8.6999999999999993"/>
    <n v="1"/>
    <n v="3.0387705204331119E-2"/>
    <n v="5.521460917862246"/>
    <n v="5.6869753563398202"/>
  </r>
  <r>
    <s v="MR758"/>
    <s v="P. blochii"/>
    <d v="2024-07-20T00:00:00"/>
    <n v="3"/>
    <n v="255"/>
    <n v="230"/>
    <n v="319"/>
    <x v="1"/>
    <x v="0"/>
    <n v="25.9"/>
    <n v="1"/>
    <n v="8.8365745479358562E-2"/>
    <n v="5.5412635451584258"/>
    <n v="5.7651911027848444"/>
  </r>
  <r>
    <s v="MR759"/>
    <s v="P. blochii"/>
    <d v="2024-07-07T00:00:00"/>
    <n v="3"/>
    <n v="244"/>
    <n v="220"/>
    <n v="269"/>
    <x v="1"/>
    <x v="2"/>
    <n v="13"/>
    <n v="1"/>
    <n v="5.078125E-2"/>
    <n v="5.4971682252932021"/>
    <n v="5.5947113796018391"/>
  </r>
  <r>
    <s v="MR760"/>
    <s v="P. blochii"/>
    <d v="2024-04-01T00:00:00"/>
    <n v="2"/>
    <n v="230"/>
    <n v="205"/>
    <n v="227"/>
    <x v="1"/>
    <x v="0"/>
    <n v="12.33"/>
    <n v="1"/>
    <n v="5.7436996319932924E-2"/>
    <n v="5.4380793089231956"/>
    <n v="5.4249500174814029"/>
  </r>
  <r>
    <s v="MR761"/>
    <s v="P. blochii"/>
    <d v="2024-04-01T00:00:00"/>
    <n v="2"/>
    <n v="233"/>
    <n v="210"/>
    <n v="191"/>
    <x v="0"/>
    <x v="4"/>
    <n v="2.2999999999999998"/>
    <n v="0"/>
    <n v="1.2188659247482777E-2"/>
    <n v="5.4510384535657002"/>
    <n v="5.2522734280466299"/>
  </r>
  <r>
    <s v="MR762"/>
    <s v="P. blochii"/>
    <d v="2024-04-01T00:00:00"/>
    <n v="2"/>
    <n v="252"/>
    <n v="231"/>
    <n v="298"/>
    <x v="0"/>
    <x v="2"/>
    <n v="23.2"/>
    <n v="0"/>
    <n v="8.442503639010189E-2"/>
    <n v="5.5294290875114234"/>
    <n v="5.6970934865054046"/>
  </r>
  <r>
    <s v="MR763"/>
    <s v="P. blochii"/>
    <d v="2024-04-21T00:00:00"/>
    <n v="2"/>
    <n v="311"/>
    <n v="284"/>
    <n v="570"/>
    <x v="1"/>
    <x v="1"/>
    <n v="10.55"/>
    <n v="2"/>
    <n v="1.8857806774510679E-2"/>
    <n v="5.7397929121792339"/>
    <n v="6.3456363608285962"/>
  </r>
  <r>
    <s v="MR764"/>
    <s v="P. blochii"/>
    <d v="2024-04-01T00:00:00"/>
    <n v="2"/>
    <n v="186"/>
    <n v="170"/>
    <n v="110"/>
    <x v="0"/>
    <x v="2"/>
    <n v="3.24"/>
    <n v="1"/>
    <n v="3.034844511052829E-2"/>
    <n v="5.2257466737132017"/>
    <n v="4.7004803657924166"/>
  </r>
  <r>
    <s v="MR765"/>
    <s v="P. blochii"/>
    <d v="2024-04-01T00:00:00"/>
    <n v="2"/>
    <n v="212"/>
    <n v="190"/>
    <n v="161"/>
    <x v="0"/>
    <x v="4"/>
    <n v="2.1"/>
    <n v="1"/>
    <n v="1.3215859030837005E-2"/>
    <n v="5.3565862746720123"/>
    <n v="5.0814043649844631"/>
  </r>
  <r>
    <s v="MR766"/>
    <s v="P. blochii"/>
    <d v="2024-04-01T00:00:00"/>
    <n v="2"/>
    <n v="211"/>
    <n v="195"/>
    <n v="187"/>
    <x v="1"/>
    <x v="1"/>
    <n v="3.6"/>
    <n v="1"/>
    <n v="1.9629225736095966E-2"/>
    <n v="5.3518581334760666"/>
    <n v="5.2311086168545868"/>
  </r>
  <r>
    <s v="MR767"/>
    <s v="P. blochii"/>
    <d v="2024-04-21T00:00:00"/>
    <n v="2"/>
    <n v="341"/>
    <n v="310"/>
    <n v="732"/>
    <x v="0"/>
    <x v="0"/>
    <n v="34.9"/>
    <n v="1"/>
    <n v="5.0064553148759142E-2"/>
    <n v="5.8318824772835169"/>
    <n v="6.5957805139613113"/>
  </r>
  <r>
    <s v="MR768"/>
    <s v="P. blochii"/>
    <d v="2024-02-12T00:00:00"/>
    <n v="1"/>
    <n v="350"/>
    <n v="325"/>
    <n v="919"/>
    <x v="1"/>
    <x v="4"/>
    <n v="5.5"/>
    <n v="1"/>
    <n v="6.0207991242474E-3"/>
    <n v="5.857933154483459"/>
    <n v="6.8232861223556869"/>
  </r>
  <r>
    <s v="MR769"/>
    <s v="P. blochii"/>
    <d v="2024-04-01T00:00:00"/>
    <n v="2"/>
    <n v="190"/>
    <n v="188"/>
    <n v="130"/>
    <x v="0"/>
    <x v="5"/>
    <n v="1.5"/>
    <m/>
    <n v="1.1673151750972763E-2"/>
    <n v="5.2470240721604862"/>
    <n v="4.8675344504555822"/>
  </r>
  <r>
    <s v="MR770"/>
    <s v="P. blochii"/>
    <d v="2024-04-21T00:00:00"/>
    <n v="2"/>
    <n v="347"/>
    <n v="314"/>
    <n v="817"/>
    <x v="1"/>
    <x v="2"/>
    <n v="37"/>
    <n v="1"/>
    <n v="4.7435897435897434E-2"/>
    <n v="5.8493247799468593"/>
    <n v="6.7056390948600031"/>
  </r>
  <r>
    <s v="MR771"/>
    <s v="P. blochii"/>
    <d v="2023-09-27T00:00:00"/>
    <n v="3"/>
    <n v="351"/>
    <n v="318"/>
    <n v="675"/>
    <x v="1"/>
    <x v="7"/>
    <n v="2.1"/>
    <n v="0"/>
    <n v="3.1208203299152924E-3"/>
    <n v="5.8607862234658654"/>
    <n v="6.5147126908725301"/>
  </r>
  <r>
    <s v="MR772"/>
    <s v="P. blochii"/>
    <d v="2024-02-12T00:00:00"/>
    <n v="1"/>
    <n v="330"/>
    <n v="318"/>
    <n v="680"/>
    <x v="0"/>
    <x v="4"/>
    <n v="9.6999999999999993"/>
    <n v="0"/>
    <n v="1.4471132328807996E-2"/>
    <n v="5.7990926544605257"/>
    <n v="6.522092798170152"/>
  </r>
  <r>
    <s v="MR773"/>
    <s v="P. blochii"/>
    <d v="2025-08-12T00:00:00"/>
    <n v="3"/>
    <n v="224"/>
    <n v="204"/>
    <n v="189.5"/>
    <x v="1"/>
    <x v="4"/>
    <n v="0.5"/>
    <n v="0"/>
    <n v="2.6455026455026454E-3"/>
    <n v="5.4116460518550396"/>
    <n v="5.2443890245224809"/>
  </r>
  <r>
    <s v="MR774"/>
    <s v="P. blochii"/>
    <d v="2025-08-12T00:00:00"/>
    <n v="3"/>
    <n v="240"/>
    <n v="213"/>
    <n v="241"/>
    <x v="0"/>
    <x v="4"/>
    <n v="1"/>
    <n v="1"/>
    <n v="4.1666666666666666E-3"/>
    <n v="5.4806389233419912"/>
    <n v="5.4847969334906548"/>
  </r>
  <r>
    <s v="MR775"/>
    <s v="P. blochii"/>
    <d v="2025-08-02T00:00:00"/>
    <n v="3"/>
    <n v="233"/>
    <n v="217"/>
    <n v="258"/>
    <x v="0"/>
    <x v="1"/>
    <n v="3.5"/>
    <n v="1"/>
    <n v="1.37524557956778E-2"/>
    <n v="5.4510384535657002"/>
    <n v="5.5529595849216173"/>
  </r>
  <r>
    <s v="MR776"/>
    <s v="P. blochii"/>
    <d v="2024-11-03T00:00:00"/>
    <n v="4"/>
    <n v="263"/>
    <n v="232"/>
    <n v="348"/>
    <x v="1"/>
    <x v="4"/>
    <n v="2.5"/>
    <n v="2"/>
    <n v="7.2358900144717797E-3"/>
    <n v="5.5721540321777647"/>
    <n v="5.8522024797744745"/>
  </r>
  <r>
    <s v="MR777"/>
    <s v="P. blochii"/>
    <d v="2025-08-12T00:00:00"/>
    <n v="3"/>
    <n v="245"/>
    <n v="222"/>
    <n v="257"/>
    <x v="1"/>
    <x v="4"/>
    <n v="1.01"/>
    <n v="1"/>
    <n v="3.9454666197898357E-3"/>
    <n v="5.5012582105447274"/>
    <n v="5.5490760848952201"/>
  </r>
  <r>
    <s v="MR778"/>
    <s v="P. blochii"/>
    <d v="2025-08-02T00:00:00"/>
    <n v="3"/>
    <n v="207"/>
    <n v="189"/>
    <n v="158"/>
    <x v="0"/>
    <x v="4"/>
    <n v="2.23"/>
    <n v="1"/>
    <n v="1.4315978686525004E-2"/>
    <n v="5.3327187932653688"/>
    <n v="5.0625950330269669"/>
  </r>
  <r>
    <s v="MR779"/>
    <s v="P. blochii"/>
    <d v="2025-08-12T00:00:00"/>
    <n v="3"/>
    <n v="196"/>
    <n v="181"/>
    <n v="131.81"/>
    <x v="5"/>
    <x v="5"/>
    <n v="0.1"/>
    <n v="0"/>
    <n v="7.5924379318199073E-4"/>
    <n v="5.2781146592305168"/>
    <n v="4.8813614917243742"/>
  </r>
  <r>
    <s v="MR780"/>
    <s v="P. blochii"/>
    <d v="2025-02-08T00:00:00"/>
    <n v="1"/>
    <n v="177"/>
    <n v="165"/>
    <n v="105.03"/>
    <x v="0"/>
    <x v="5"/>
    <n v="0.37"/>
    <n v="0"/>
    <n v="3.5352570227403018E-3"/>
    <n v="5.1761497325738288"/>
    <n v="4.6542460236346841"/>
  </r>
  <r>
    <s v="MR781"/>
    <s v="P. blochii"/>
    <d v="2025-08-12T00:00:00"/>
    <n v="3"/>
    <n v="197"/>
    <n v="179"/>
    <n v="138.65"/>
    <x v="0"/>
    <x v="4"/>
    <n v="1.68"/>
    <n v="0"/>
    <n v="1.2265459589691174E-2"/>
    <n v="5.2832037287379885"/>
    <n v="4.9319527720617868"/>
  </r>
  <r>
    <s v="MR782"/>
    <s v="P. blochii"/>
    <d v="2025-02-08T00:00:00"/>
    <n v="1"/>
    <n v="224"/>
    <n v="208"/>
    <n v="196.32"/>
    <x v="1"/>
    <x v="1"/>
    <n v="1.31"/>
    <n v="0"/>
    <n v="6.7176042254243375E-3"/>
    <n v="5.4116460518550396"/>
    <n v="5.2797459809626011"/>
  </r>
  <r>
    <s v="MR783"/>
    <s v="P. blochii"/>
    <d v="2025-08-12T00:00:00"/>
    <n v="3"/>
    <n v="221"/>
    <n v="202"/>
    <n v="191.27"/>
    <x v="0"/>
    <x v="1"/>
    <n v="1.96"/>
    <n v="0"/>
    <n v="1.0353388621837198E-2"/>
    <n v="5.3981627015177525"/>
    <n v="5.2536860424024425"/>
  </r>
  <r>
    <s v="MR784"/>
    <s v="P. blochii"/>
    <d v="2025-02-08T00:00:00"/>
    <n v="1"/>
    <n v="191"/>
    <n v="178"/>
    <n v="128.18"/>
    <x v="0"/>
    <x v="4"/>
    <n v="1.42"/>
    <n v="0"/>
    <n v="1.1202272010097821E-2"/>
    <n v="5.2522734280466299"/>
    <n v="4.8534355260760806"/>
  </r>
  <r>
    <s v="MR785"/>
    <s v="P. blochii"/>
    <d v="2025-08-12T00:00:00"/>
    <n v="3"/>
    <n v="235"/>
    <n v="214"/>
    <n v="231.36"/>
    <x v="1"/>
    <x v="4"/>
    <n v="0.56999999999999995"/>
    <n v="1"/>
    <n v="2.4697777200051989E-3"/>
    <n v="5.4595855141441589"/>
    <n v="5.4439749389704"/>
  </r>
  <r>
    <s v="MR786"/>
    <s v="P. blochii"/>
    <d v="2025-08-02T00:00:00"/>
    <n v="3"/>
    <n v="169"/>
    <n v="151"/>
    <n v="91.2"/>
    <x v="0"/>
    <x v="4"/>
    <n v="0.37"/>
    <n v="2"/>
    <n v="4.0735439832654411E-3"/>
    <n v="5.1298987149230735"/>
    <n v="4.513054897080286"/>
  </r>
  <r>
    <s v="MR787"/>
    <s v="P. blochii"/>
    <d v="2024-12-07T00:00:00"/>
    <n v="4"/>
    <n v="350"/>
    <n v="310"/>
    <n v="787"/>
    <x v="1"/>
    <x v="0"/>
    <n v="1.75"/>
    <n v="1"/>
    <n v="2.2285896211397642E-3"/>
    <n v="5.857933154483459"/>
    <n v="6.6682282484174031"/>
  </r>
  <r>
    <s v="MR788"/>
    <s v="P. blochii"/>
    <d v="2025-08-02T00:00:00"/>
    <n v="3"/>
    <n v="227"/>
    <n v="202"/>
    <n v="218.09"/>
    <x v="0"/>
    <x v="1"/>
    <n v="2.58"/>
    <n v="0"/>
    <n v="1.1971602245835461E-2"/>
    <n v="5.4249500174814029"/>
    <n v="5.3849078216291346"/>
  </r>
  <r>
    <s v="MR789"/>
    <s v="P. blochii"/>
    <d v="2024-11-03T00:00:00"/>
    <n v="4"/>
    <n v="240"/>
    <n v="219"/>
    <n v="282.44"/>
    <x v="1"/>
    <x v="1"/>
    <n v="2.91"/>
    <n v="2"/>
    <n v="1.0410331628090009E-2"/>
    <n v="5.4806389233419912"/>
    <n v="5.6434661386481464"/>
  </r>
  <r>
    <s v="MR790"/>
    <s v="P. blochii"/>
    <d v="2025-08-02T00:00:00"/>
    <n v="3"/>
    <n v="203"/>
    <n v="184"/>
    <n v="155.5"/>
    <x v="0"/>
    <x v="4"/>
    <n v="2"/>
    <n v="0"/>
    <n v="1.3029315960912053E-2"/>
    <n v="5.3132059790417872"/>
    <n v="5.0466457316192885"/>
  </r>
  <r>
    <s v="MR791"/>
    <s v="P. blochii"/>
    <d v="2025-08-02T00:00:00"/>
    <n v="3"/>
    <n v="215"/>
    <n v="198"/>
    <n v="191"/>
    <x v="1"/>
    <x v="4"/>
    <n v="0.5"/>
    <n v="0"/>
    <n v="2.6246719160104987E-3"/>
    <n v="5.3706380281276624"/>
    <n v="5.2522734280466299"/>
  </r>
  <r>
    <s v="MR792"/>
    <s v="P. blochii"/>
    <d v="2024-09-23T00:00:00"/>
    <n v="3"/>
    <n v="346"/>
    <n v="313"/>
    <n v="739.5"/>
    <x v="1"/>
    <x v="4"/>
    <n v="1.5"/>
    <n v="1"/>
    <n v="2.0325203252032522E-3"/>
    <n v="5.8464387750577247"/>
    <n v="6.6059742821508545"/>
  </r>
  <r>
    <s v="MR793"/>
    <s v="P. blochii"/>
    <d v="2025-08-02T00:00:00"/>
    <n v="3"/>
    <n v="181"/>
    <n v="170"/>
    <n v="121.5"/>
    <x v="1"/>
    <x v="5"/>
    <n v="0.5"/>
    <n v="0"/>
    <n v="4.1322314049586778E-3"/>
    <n v="5.1984970312658261"/>
    <n v="4.7999142627806028"/>
  </r>
  <r>
    <s v="MR794"/>
    <s v="P. blochii"/>
    <d v="2025-08-12T00:00:00"/>
    <n v="3"/>
    <n v="207"/>
    <n v="189"/>
    <n v="179.46"/>
    <x v="0"/>
    <x v="4"/>
    <n v="2.04"/>
    <n v="0"/>
    <n v="1.1498140006763611E-2"/>
    <n v="5.3327187932653688"/>
    <n v="5.1899523418699118"/>
  </r>
  <r>
    <s v="MR796"/>
    <s v="P. blochii"/>
    <d v="2025-08-12T00:00:00"/>
    <n v="3"/>
    <n v="287"/>
    <n v="265"/>
    <n v="414.7"/>
    <x v="1"/>
    <x v="4"/>
    <n v="1.21"/>
    <n v="1"/>
    <n v="2.9263101888800211E-3"/>
    <n v="5.6594822157596214"/>
    <n v="6.0275553672523356"/>
  </r>
  <r>
    <s v="MR797"/>
    <s v="P. blochii"/>
    <d v="2025-08-02T00:00:00"/>
    <n v="3"/>
    <n v="215"/>
    <n v="215"/>
    <n v="199.44"/>
    <x v="1"/>
    <x v="0"/>
    <n v="8.74"/>
    <n v="1"/>
    <n v="4.5831148400629261E-2"/>
    <n v="5.3706380281276624"/>
    <n v="5.295513439215302"/>
  </r>
  <r>
    <s v="MR798"/>
    <s v="P. blochii"/>
    <d v="2025-03-08T00:00:00"/>
    <n v="1"/>
    <n v="226"/>
    <n v="10"/>
    <n v="190.7"/>
    <x v="1"/>
    <x v="4"/>
    <n v="0.71"/>
    <n v="1"/>
    <n v="3.7370387915153431E-3"/>
    <n v="5.4205349992722862"/>
    <n v="5.25070151260637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5D1AC-13B6-431C-B74F-61F4DFAE0FC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10" firstHeaderRow="1" firstDataRow="3" firstDataCol="1"/>
  <pivotFields count="16">
    <pivotField dataField="1" showAll="0"/>
    <pivotField showAll="0"/>
    <pivotField numFmtId="164" showAll="0"/>
    <pivotField axis="axisRow" numFmtI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axis="axisCol" showAll="0">
      <items count="6">
        <item x="0"/>
        <item h="1" x="2"/>
        <item h="1" x="3"/>
        <item x="1"/>
        <item h="1" x="4"/>
        <item t="default"/>
      </items>
    </pivotField>
    <pivotField axis="axisCol" showAll="0">
      <items count="11">
        <item x="5"/>
        <item x="4"/>
        <item x="1"/>
        <item x="0"/>
        <item x="2"/>
        <item x="3"/>
        <item x="7"/>
        <item x="8"/>
        <item x="6"/>
        <item x="9"/>
        <item t="default"/>
      </items>
    </pivotField>
    <pivotField showAll="0"/>
    <pivotField showAll="0"/>
    <pivotField showAll="0"/>
    <pivotField showAll="0"/>
    <pivotField showAll="0"/>
    <pivotField numFmtId="166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7"/>
    <field x="8"/>
  </colFields>
  <colItems count="1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9"/>
    </i>
    <i t="default">
      <x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9"/>
    </i>
    <i t="default">
      <x v="3"/>
    </i>
    <i t="grand">
      <x/>
    </i>
  </colItems>
  <dataFields count="1">
    <dataField name="Count of Fish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7E224-9059-495F-9E69-FFD7FDB95B8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3" firstHeaderRow="1" firstDataRow="2" firstDataCol="1"/>
  <pivotFields count="14">
    <pivotField showAll="0"/>
    <pivotField showAll="0"/>
    <pivotField numFmtId="164" showAll="0"/>
    <pivotField numFmtId="1" showAll="0"/>
    <pivotField showAll="0"/>
    <pivotField showAll="0"/>
    <pivotField showAll="0"/>
    <pivotField axis="axisCol" showAll="0">
      <items count="7">
        <item x="0"/>
        <item h="1" x="2"/>
        <item h="1" x="3"/>
        <item x="1"/>
        <item h="1" x="4"/>
        <item h="1" x="5"/>
        <item t="default"/>
      </items>
    </pivotField>
    <pivotField axis="axisRow" showAll="0">
      <items count="11">
        <item x="5"/>
        <item x="4"/>
        <item x="1"/>
        <item x="0"/>
        <item x="2"/>
        <item x="3"/>
        <item x="7"/>
        <item x="8"/>
        <item x="6"/>
        <item x="9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9"/>
    </i>
    <i t="grand">
      <x/>
    </i>
  </rowItems>
  <colFields count="1">
    <field x="7"/>
  </colFields>
  <colItems count="3">
    <i>
      <x/>
    </i>
    <i>
      <x v="3"/>
    </i>
    <i t="grand">
      <x/>
    </i>
  </colItems>
  <dataFields count="1">
    <dataField name="Average of GSI" fld="11" subtotal="average" baseField="8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7AC60-6ADA-403B-9F2A-3891A929450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0" firstHeaderRow="1" firstDataRow="3" firstDataCol="1"/>
  <pivotFields count="16">
    <pivotField dataField="1" showAll="0"/>
    <pivotField showAll="0"/>
    <pivotField numFmtId="164" showAll="0"/>
    <pivotField axis="axisRow" numFmtI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axis="axisCol" showAll="0">
      <items count="6">
        <item x="0"/>
        <item h="1" x="2"/>
        <item h="1" x="3"/>
        <item x="1"/>
        <item h="1" x="4"/>
        <item t="default"/>
      </items>
    </pivotField>
    <pivotField showAll="0"/>
    <pivotField showAll="0"/>
    <pivotField axis="axisCol" showAll="0">
      <items count="6">
        <item x="0"/>
        <item x="2"/>
        <item x="1"/>
        <item x="4"/>
        <item x="3"/>
        <item t="default"/>
      </items>
    </pivotField>
    <pivotField showAll="0"/>
    <pivotField showAll="0"/>
    <pivotField showAll="0"/>
    <pivotField numFmtId="166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7"/>
    <field x="10"/>
  </colFields>
  <colItems count="12">
    <i>
      <x/>
      <x/>
    </i>
    <i r="1">
      <x v="1"/>
    </i>
    <i r="1">
      <x v="2"/>
    </i>
    <i r="1">
      <x v="3"/>
    </i>
    <i r="1">
      <x v="4"/>
    </i>
    <i t="default">
      <x/>
    </i>
    <i>
      <x v="3"/>
      <x/>
    </i>
    <i r="1">
      <x v="1"/>
    </i>
    <i r="1">
      <x v="2"/>
    </i>
    <i r="1">
      <x v="3"/>
    </i>
    <i t="default">
      <x v="3"/>
    </i>
    <i t="grand">
      <x/>
    </i>
  </colItems>
  <dataFields count="1">
    <dataField name="Count of Fish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CCD0-9985-4FF7-A5BA-C88839169FC4}">
  <dimension ref="A3:T18"/>
  <sheetViews>
    <sheetView zoomScale="155" zoomScaleNormal="155" workbookViewId="0">
      <selection activeCell="K16" sqref="K16"/>
    </sheetView>
  </sheetViews>
  <sheetFormatPr defaultRowHeight="14.4" x14ac:dyDescent="0.3"/>
  <cols>
    <col min="1" max="1" width="13.88671875" bestFit="1" customWidth="1"/>
    <col min="2" max="2" width="15.5546875" bestFit="1" customWidth="1"/>
    <col min="3" max="7" width="3" bestFit="1" customWidth="1"/>
    <col min="8" max="8" width="2" bestFit="1" customWidth="1"/>
    <col min="9" max="9" width="7" bestFit="1" customWidth="1"/>
    <col min="10" max="10" width="6.5546875" bestFit="1" customWidth="1"/>
    <col min="11" max="11" width="4.77734375" bestFit="1" customWidth="1"/>
    <col min="12" max="15" width="3" bestFit="1" customWidth="1"/>
    <col min="16" max="17" width="2" bestFit="1" customWidth="1"/>
    <col min="18" max="18" width="7" bestFit="1" customWidth="1"/>
    <col min="19" max="19" width="7.44140625" bestFit="1" customWidth="1"/>
    <col min="20" max="20" width="10.77734375" bestFit="1" customWidth="1"/>
    <col min="21" max="21" width="3" bestFit="1" customWidth="1"/>
    <col min="22" max="23" width="2" bestFit="1" customWidth="1"/>
    <col min="24" max="24" width="7" bestFit="1" customWidth="1"/>
    <col min="25" max="25" width="7.44140625" bestFit="1" customWidth="1"/>
    <col min="26" max="26" width="9" bestFit="1" customWidth="1"/>
    <col min="27" max="27" width="11.6640625" bestFit="1" customWidth="1"/>
    <col min="28" max="28" width="10.77734375" bestFit="1" customWidth="1"/>
  </cols>
  <sheetData>
    <row r="3" spans="1:20" x14ac:dyDescent="0.3">
      <c r="A3" s="22" t="s">
        <v>557</v>
      </c>
      <c r="B3" s="22" t="s">
        <v>553</v>
      </c>
    </row>
    <row r="4" spans="1:20" x14ac:dyDescent="0.3">
      <c r="B4" t="s">
        <v>10</v>
      </c>
      <c r="J4" t="s">
        <v>559</v>
      </c>
      <c r="K4" t="s">
        <v>28</v>
      </c>
      <c r="S4" t="s">
        <v>560</v>
      </c>
      <c r="T4" t="s">
        <v>555</v>
      </c>
    </row>
    <row r="5" spans="1:20" x14ac:dyDescent="0.3">
      <c r="A5" s="22" t="s">
        <v>556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 t="s">
        <v>554</v>
      </c>
      <c r="K5">
        <v>1</v>
      </c>
      <c r="L5">
        <v>2</v>
      </c>
      <c r="M5">
        <v>3</v>
      </c>
      <c r="N5">
        <v>4</v>
      </c>
      <c r="O5">
        <v>5</v>
      </c>
      <c r="P5">
        <v>6</v>
      </c>
      <c r="Q5">
        <v>7</v>
      </c>
      <c r="R5" t="s">
        <v>554</v>
      </c>
    </row>
    <row r="6" spans="1:20" x14ac:dyDescent="0.3">
      <c r="A6" s="26">
        <v>1</v>
      </c>
      <c r="B6">
        <v>5</v>
      </c>
      <c r="C6">
        <v>23</v>
      </c>
      <c r="D6">
        <v>11</v>
      </c>
      <c r="E6">
        <v>12</v>
      </c>
      <c r="F6">
        <v>1</v>
      </c>
      <c r="G6">
        <v>1</v>
      </c>
      <c r="H6">
        <v>1</v>
      </c>
      <c r="J6">
        <v>54</v>
      </c>
      <c r="K6">
        <v>6</v>
      </c>
      <c r="L6">
        <v>10</v>
      </c>
      <c r="M6">
        <v>7</v>
      </c>
      <c r="N6">
        <v>5</v>
      </c>
      <c r="O6">
        <v>4</v>
      </c>
      <c r="Q6">
        <v>1</v>
      </c>
      <c r="S6">
        <v>33</v>
      </c>
      <c r="T6">
        <v>87</v>
      </c>
    </row>
    <row r="7" spans="1:20" x14ac:dyDescent="0.3">
      <c r="A7" s="26">
        <v>2</v>
      </c>
      <c r="B7">
        <v>5</v>
      </c>
      <c r="C7">
        <v>17</v>
      </c>
      <c r="D7">
        <v>19</v>
      </c>
      <c r="E7">
        <v>38</v>
      </c>
      <c r="F7">
        <v>19</v>
      </c>
      <c r="G7">
        <v>6</v>
      </c>
      <c r="I7">
        <v>1</v>
      </c>
      <c r="J7">
        <v>105</v>
      </c>
      <c r="K7">
        <v>2</v>
      </c>
      <c r="L7">
        <v>10</v>
      </c>
      <c r="M7">
        <v>21</v>
      </c>
      <c r="N7">
        <v>29</v>
      </c>
      <c r="O7">
        <v>23</v>
      </c>
      <c r="Q7">
        <v>1</v>
      </c>
      <c r="S7">
        <v>86</v>
      </c>
      <c r="T7">
        <v>191</v>
      </c>
    </row>
    <row r="8" spans="1:20" x14ac:dyDescent="0.3">
      <c r="A8" s="26">
        <v>3</v>
      </c>
      <c r="B8">
        <v>6</v>
      </c>
      <c r="C8">
        <v>21</v>
      </c>
      <c r="D8">
        <v>22</v>
      </c>
      <c r="E8">
        <v>28</v>
      </c>
      <c r="F8">
        <v>34</v>
      </c>
      <c r="G8">
        <v>10</v>
      </c>
      <c r="J8">
        <v>121</v>
      </c>
      <c r="K8">
        <v>11</v>
      </c>
      <c r="L8">
        <v>16</v>
      </c>
      <c r="M8">
        <v>15</v>
      </c>
      <c r="N8">
        <v>33</v>
      </c>
      <c r="O8">
        <v>11</v>
      </c>
      <c r="P8">
        <v>4</v>
      </c>
      <c r="Q8">
        <v>2</v>
      </c>
      <c r="R8">
        <v>1</v>
      </c>
      <c r="S8">
        <v>93</v>
      </c>
      <c r="T8">
        <v>214</v>
      </c>
    </row>
    <row r="9" spans="1:20" x14ac:dyDescent="0.3">
      <c r="A9" s="26">
        <v>4</v>
      </c>
      <c r="B9">
        <v>4</v>
      </c>
      <c r="C9">
        <v>16</v>
      </c>
      <c r="D9">
        <v>4</v>
      </c>
      <c r="E9">
        <v>3</v>
      </c>
      <c r="F9">
        <v>1</v>
      </c>
      <c r="G9">
        <v>3</v>
      </c>
      <c r="H9">
        <v>1</v>
      </c>
      <c r="J9">
        <v>32</v>
      </c>
      <c r="K9">
        <v>4</v>
      </c>
      <c r="L9">
        <v>10</v>
      </c>
      <c r="M9">
        <v>4</v>
      </c>
      <c r="N9">
        <v>1</v>
      </c>
      <c r="S9">
        <v>19</v>
      </c>
      <c r="T9">
        <v>51</v>
      </c>
    </row>
    <row r="10" spans="1:20" x14ac:dyDescent="0.3">
      <c r="A10" s="26" t="s">
        <v>555</v>
      </c>
      <c r="B10">
        <v>20</v>
      </c>
      <c r="C10">
        <v>77</v>
      </c>
      <c r="D10">
        <v>56</v>
      </c>
      <c r="E10">
        <v>81</v>
      </c>
      <c r="F10">
        <v>55</v>
      </c>
      <c r="G10">
        <v>20</v>
      </c>
      <c r="H10">
        <v>2</v>
      </c>
      <c r="I10">
        <v>1</v>
      </c>
      <c r="J10">
        <v>312</v>
      </c>
      <c r="K10">
        <v>23</v>
      </c>
      <c r="L10">
        <v>46</v>
      </c>
      <c r="M10">
        <v>47</v>
      </c>
      <c r="N10">
        <v>68</v>
      </c>
      <c r="O10">
        <v>38</v>
      </c>
      <c r="P10">
        <v>4</v>
      </c>
      <c r="Q10">
        <v>4</v>
      </c>
      <c r="R10">
        <v>1</v>
      </c>
      <c r="S10">
        <v>231</v>
      </c>
      <c r="T10">
        <v>543</v>
      </c>
    </row>
    <row r="14" spans="1:20" x14ac:dyDescent="0.3">
      <c r="A14" t="s">
        <v>556</v>
      </c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</row>
    <row r="15" spans="1:20" x14ac:dyDescent="0.3">
      <c r="A15">
        <v>1</v>
      </c>
      <c r="B15">
        <v>5</v>
      </c>
      <c r="C15">
        <v>23</v>
      </c>
      <c r="D15">
        <v>11</v>
      </c>
      <c r="E15">
        <v>12</v>
      </c>
      <c r="F15">
        <v>1</v>
      </c>
      <c r="G15">
        <v>1</v>
      </c>
      <c r="H15">
        <v>1</v>
      </c>
    </row>
    <row r="16" spans="1:20" x14ac:dyDescent="0.3">
      <c r="A16">
        <v>2</v>
      </c>
      <c r="B16">
        <v>5</v>
      </c>
      <c r="C16">
        <v>17</v>
      </c>
      <c r="D16">
        <v>19</v>
      </c>
      <c r="E16">
        <v>38</v>
      </c>
      <c r="F16">
        <v>19</v>
      </c>
      <c r="G16">
        <v>6</v>
      </c>
    </row>
    <row r="17" spans="1:8" x14ac:dyDescent="0.3">
      <c r="A17">
        <v>3</v>
      </c>
      <c r="B17">
        <v>6</v>
      </c>
      <c r="C17">
        <v>21</v>
      </c>
      <c r="D17">
        <v>22</v>
      </c>
      <c r="E17">
        <v>28</v>
      </c>
      <c r="F17">
        <v>34</v>
      </c>
      <c r="G17">
        <v>10</v>
      </c>
    </row>
    <row r="18" spans="1:8" x14ac:dyDescent="0.3">
      <c r="A18">
        <v>4</v>
      </c>
      <c r="B18">
        <v>4</v>
      </c>
      <c r="C18">
        <v>16</v>
      </c>
      <c r="D18">
        <v>4</v>
      </c>
      <c r="E18">
        <v>3</v>
      </c>
      <c r="F18">
        <v>1</v>
      </c>
      <c r="G18">
        <v>3</v>
      </c>
      <c r="H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8B1D-7385-49B6-83BA-FAD800A90558}">
  <dimension ref="A2:N13"/>
  <sheetViews>
    <sheetView zoomScale="155" zoomScaleNormal="155" workbookViewId="0">
      <selection activeCell="C5" sqref="C5"/>
    </sheetView>
  </sheetViews>
  <sheetFormatPr defaultRowHeight="14.4" x14ac:dyDescent="0.3"/>
  <cols>
    <col min="1" max="1" width="13.44140625" bestFit="1" customWidth="1"/>
    <col min="2" max="2" width="15.5546875" bestFit="1" customWidth="1"/>
    <col min="3" max="3" width="5.5546875" bestFit="1" customWidth="1"/>
    <col min="4" max="4" width="10.77734375" bestFit="1" customWidth="1"/>
    <col min="5" max="7" width="12" bestFit="1" customWidth="1"/>
  </cols>
  <sheetData>
    <row r="2" spans="1:14" x14ac:dyDescent="0.3">
      <c r="G2" t="s">
        <v>561</v>
      </c>
      <c r="I2" t="s">
        <v>562</v>
      </c>
      <c r="K2" t="s">
        <v>563</v>
      </c>
      <c r="M2" t="s">
        <v>564</v>
      </c>
    </row>
    <row r="3" spans="1:14" x14ac:dyDescent="0.3">
      <c r="A3" s="22" t="s">
        <v>570</v>
      </c>
      <c r="B3" s="22" t="s">
        <v>553</v>
      </c>
    </row>
    <row r="4" spans="1:14" x14ac:dyDescent="0.3">
      <c r="A4" s="22" t="s">
        <v>556</v>
      </c>
      <c r="B4" t="s">
        <v>10</v>
      </c>
      <c r="C4" t="s">
        <v>28</v>
      </c>
      <c r="D4" t="s">
        <v>555</v>
      </c>
      <c r="F4" s="23" t="s">
        <v>556</v>
      </c>
      <c r="G4" s="23" t="s">
        <v>10</v>
      </c>
      <c r="H4" s="23" t="s">
        <v>28</v>
      </c>
      <c r="I4" s="23" t="s">
        <v>10</v>
      </c>
      <c r="J4" s="23" t="s">
        <v>28</v>
      </c>
      <c r="K4" s="23" t="s">
        <v>10</v>
      </c>
      <c r="L4" s="23" t="s">
        <v>28</v>
      </c>
      <c r="M4" s="23" t="s">
        <v>10</v>
      </c>
      <c r="N4" s="23" t="s">
        <v>28</v>
      </c>
    </row>
    <row r="5" spans="1:14" x14ac:dyDescent="0.3">
      <c r="A5" s="24">
        <v>1</v>
      </c>
      <c r="B5" s="3">
        <v>7.01097157763436E-3</v>
      </c>
      <c r="C5" s="3">
        <v>1.4326376513752054E-3</v>
      </c>
      <c r="D5" s="3">
        <v>4.0358601502961441E-3</v>
      </c>
      <c r="F5" s="26">
        <v>1</v>
      </c>
      <c r="G5" s="3">
        <v>1.8138428738461658E-2</v>
      </c>
      <c r="H5" s="3">
        <v>1.6081254268361021E-2</v>
      </c>
      <c r="I5">
        <v>2.1322680814199021E-2</v>
      </c>
      <c r="J5">
        <v>2.3295606418253768E-2</v>
      </c>
      <c r="K5" s="3">
        <v>54</v>
      </c>
      <c r="L5" s="3">
        <v>33</v>
      </c>
      <c r="M5">
        <f>I5/SQRT(K5)</f>
        <v>2.9016493301677868E-3</v>
      </c>
      <c r="N5">
        <f>J5/SQRT(L5)</f>
        <v>4.055244559356126E-3</v>
      </c>
    </row>
    <row r="6" spans="1:14" x14ac:dyDescent="0.3">
      <c r="A6" s="24">
        <v>2</v>
      </c>
      <c r="B6" s="3">
        <v>1.2145092893770571E-2</v>
      </c>
      <c r="C6" s="3">
        <v>4.5715124342851502E-3</v>
      </c>
      <c r="D6" s="3">
        <v>9.1815179313632332E-3</v>
      </c>
      <c r="F6" s="26">
        <v>2</v>
      </c>
      <c r="G6" s="3">
        <v>4.515406504168052E-2</v>
      </c>
      <c r="H6" s="3">
        <v>4.2500426780142014E-2</v>
      </c>
      <c r="I6">
        <v>2.9128238489168488E-2</v>
      </c>
      <c r="J6">
        <v>3.3874896190168036E-2</v>
      </c>
      <c r="K6" s="3">
        <v>105</v>
      </c>
      <c r="L6" s="3">
        <v>86</v>
      </c>
      <c r="M6">
        <f t="shared" ref="M6:M8" si="0">I6/SQRT(K6)</f>
        <v>2.8426250066441801E-3</v>
      </c>
      <c r="N6">
        <f t="shared" ref="N6:N8" si="1">J6/SQRT(L6)</f>
        <v>3.6528239981644096E-3</v>
      </c>
    </row>
    <row r="7" spans="1:14" x14ac:dyDescent="0.3">
      <c r="A7" s="24">
        <v>3</v>
      </c>
      <c r="B7" s="3">
        <v>2.3815042393199395E-2</v>
      </c>
      <c r="C7" s="3">
        <v>1.8445710683328686E-2</v>
      </c>
      <c r="D7" s="3">
        <v>2.137895671001732E-2</v>
      </c>
      <c r="F7" s="26">
        <v>3</v>
      </c>
      <c r="G7" s="3">
        <v>3.9441761500988888E-2</v>
      </c>
      <c r="H7" s="3">
        <v>2.7673004077612036E-2</v>
      </c>
      <c r="I7">
        <v>2.4755087835324003E-2</v>
      </c>
      <c r="J7">
        <v>2.8071999457552101E-2</v>
      </c>
      <c r="K7" s="3">
        <v>121</v>
      </c>
      <c r="L7" s="3">
        <v>93</v>
      </c>
      <c r="M7">
        <f t="shared" si="0"/>
        <v>2.2504625304840004E-3</v>
      </c>
      <c r="N7">
        <f t="shared" si="1"/>
        <v>2.910930741198023E-3</v>
      </c>
    </row>
    <row r="8" spans="1:14" x14ac:dyDescent="0.3">
      <c r="A8" s="24">
        <v>4</v>
      </c>
      <c r="B8" s="3">
        <v>4.7825674918051973E-2</v>
      </c>
      <c r="C8" s="3">
        <v>4.4267930619905624E-2</v>
      </c>
      <c r="D8" s="3">
        <v>4.6176389481825189E-2</v>
      </c>
      <c r="F8" s="26">
        <v>4</v>
      </c>
      <c r="G8" s="3">
        <v>1.6290814626440855E-2</v>
      </c>
      <c r="H8" s="3">
        <v>4.5996606699734554E-3</v>
      </c>
      <c r="I8">
        <v>1.7611772436874579E-2</v>
      </c>
      <c r="J8">
        <v>4.6470411364705668E-3</v>
      </c>
      <c r="K8" s="3">
        <v>32</v>
      </c>
      <c r="L8" s="3">
        <v>19</v>
      </c>
      <c r="M8">
        <f t="shared" si="0"/>
        <v>3.1133509297070852E-3</v>
      </c>
      <c r="N8">
        <f t="shared" si="1"/>
        <v>1.0661043526500843E-3</v>
      </c>
    </row>
    <row r="9" spans="1:14" x14ac:dyDescent="0.3">
      <c r="A9" s="24">
        <v>5</v>
      </c>
      <c r="B9" s="3">
        <v>6.1424498556929476E-2</v>
      </c>
      <c r="C9" s="3">
        <v>5.9762469682456049E-2</v>
      </c>
      <c r="D9" s="3">
        <v>6.0745389984564004E-2</v>
      </c>
    </row>
    <row r="10" spans="1:14" x14ac:dyDescent="0.3">
      <c r="A10" s="24">
        <v>6</v>
      </c>
      <c r="B10" s="3">
        <v>5.9416052219145699E-2</v>
      </c>
      <c r="C10" s="3">
        <v>8.7953018140911596E-2</v>
      </c>
      <c r="D10" s="3">
        <v>6.4172213206106679E-2</v>
      </c>
    </row>
    <row r="11" spans="1:14" x14ac:dyDescent="0.3">
      <c r="A11" s="24">
        <v>7</v>
      </c>
      <c r="B11" s="3">
        <v>2.359502282049801E-2</v>
      </c>
      <c r="C11" s="3">
        <v>6.6315174068896261E-3</v>
      </c>
      <c r="D11" s="3">
        <v>1.2286019211425754E-2</v>
      </c>
    </row>
    <row r="12" spans="1:14" x14ac:dyDescent="0.3">
      <c r="A12" s="24" t="s">
        <v>554</v>
      </c>
      <c r="B12" s="3">
        <v>6.4331385086102061E-2</v>
      </c>
      <c r="C12" s="3">
        <v>1.0486177311725454E-2</v>
      </c>
      <c r="D12" s="3">
        <v>3.7408781198913756E-2</v>
      </c>
    </row>
    <row r="13" spans="1:14" x14ac:dyDescent="0.3">
      <c r="A13" s="24" t="s">
        <v>555</v>
      </c>
      <c r="B13" s="3">
        <v>3.4441409509316255E-2</v>
      </c>
      <c r="C13" s="3">
        <v>2.8457533235234277E-2</v>
      </c>
      <c r="D13" s="3">
        <v>3.1866337532462652E-2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8B25-22E3-4A70-86D4-B35DF293B482}">
  <dimension ref="A3:M33"/>
  <sheetViews>
    <sheetView zoomScale="136" zoomScaleNormal="136" workbookViewId="0">
      <selection activeCell="H13" sqref="H13"/>
    </sheetView>
  </sheetViews>
  <sheetFormatPr defaultRowHeight="14.4" x14ac:dyDescent="0.3"/>
  <cols>
    <col min="1" max="7" width="4.44140625" customWidth="1"/>
    <col min="8" max="8" width="22.5546875" customWidth="1"/>
    <col min="9" max="11" width="3" bestFit="1" customWidth="1"/>
    <col min="12" max="12" width="7.44140625" bestFit="1" customWidth="1"/>
    <col min="13" max="13" width="10.77734375" bestFit="1" customWidth="1"/>
    <col min="14" max="14" width="6.33203125" bestFit="1" customWidth="1"/>
    <col min="15" max="15" width="4.77734375" bestFit="1" customWidth="1"/>
    <col min="16" max="18" width="3" bestFit="1" customWidth="1"/>
    <col min="19" max="19" width="7.44140625" bestFit="1" customWidth="1"/>
    <col min="20" max="20" width="9" bestFit="1" customWidth="1"/>
    <col min="21" max="21" width="11.6640625" bestFit="1" customWidth="1"/>
    <col min="22" max="22" width="10.77734375" bestFit="1" customWidth="1"/>
  </cols>
  <sheetData>
    <row r="3" spans="1:13" x14ac:dyDescent="0.3">
      <c r="A3" s="22" t="s">
        <v>557</v>
      </c>
      <c r="B3" s="22" t="s">
        <v>553</v>
      </c>
    </row>
    <row r="4" spans="1:13" x14ac:dyDescent="0.3">
      <c r="B4" t="s">
        <v>10</v>
      </c>
      <c r="G4" t="s">
        <v>559</v>
      </c>
      <c r="H4" t="s">
        <v>28</v>
      </c>
      <c r="L4" t="s">
        <v>560</v>
      </c>
      <c r="M4" t="s">
        <v>555</v>
      </c>
    </row>
    <row r="5" spans="1:13" x14ac:dyDescent="0.3">
      <c r="A5" s="22" t="s">
        <v>556</v>
      </c>
      <c r="B5">
        <v>0</v>
      </c>
      <c r="C5">
        <v>1</v>
      </c>
      <c r="D5">
        <v>2</v>
      </c>
      <c r="E5">
        <v>3</v>
      </c>
      <c r="F5" t="s">
        <v>554</v>
      </c>
      <c r="H5">
        <v>0</v>
      </c>
      <c r="I5">
        <v>1</v>
      </c>
      <c r="J5">
        <v>2</v>
      </c>
      <c r="K5">
        <v>3</v>
      </c>
    </row>
    <row r="6" spans="1:13" x14ac:dyDescent="0.3">
      <c r="A6" s="26">
        <v>1</v>
      </c>
      <c r="B6">
        <v>8</v>
      </c>
      <c r="C6">
        <v>24</v>
      </c>
      <c r="D6">
        <v>19</v>
      </c>
      <c r="E6">
        <v>2</v>
      </c>
      <c r="F6">
        <v>1</v>
      </c>
      <c r="G6">
        <v>54</v>
      </c>
      <c r="H6">
        <v>3</v>
      </c>
      <c r="I6">
        <v>15</v>
      </c>
      <c r="J6">
        <v>11</v>
      </c>
      <c r="K6">
        <v>4</v>
      </c>
      <c r="L6">
        <v>33</v>
      </c>
      <c r="M6">
        <v>87</v>
      </c>
    </row>
    <row r="7" spans="1:13" x14ac:dyDescent="0.3">
      <c r="A7" s="26">
        <v>2</v>
      </c>
      <c r="B7">
        <v>32</v>
      </c>
      <c r="C7">
        <v>49</v>
      </c>
      <c r="D7">
        <v>20</v>
      </c>
      <c r="E7">
        <v>2</v>
      </c>
      <c r="F7">
        <v>2</v>
      </c>
      <c r="G7">
        <v>105</v>
      </c>
      <c r="H7">
        <v>15</v>
      </c>
      <c r="I7">
        <v>41</v>
      </c>
      <c r="J7">
        <v>29</v>
      </c>
      <c r="K7">
        <v>1</v>
      </c>
      <c r="L7">
        <v>86</v>
      </c>
      <c r="M7">
        <v>191</v>
      </c>
    </row>
    <row r="8" spans="1:13" x14ac:dyDescent="0.3">
      <c r="A8" s="26">
        <v>3</v>
      </c>
      <c r="B8">
        <v>55</v>
      </c>
      <c r="C8">
        <v>44</v>
      </c>
      <c r="D8">
        <v>20</v>
      </c>
      <c r="E8">
        <v>2</v>
      </c>
      <c r="G8">
        <v>121</v>
      </c>
      <c r="H8">
        <v>39</v>
      </c>
      <c r="I8">
        <v>32</v>
      </c>
      <c r="J8">
        <v>17</v>
      </c>
      <c r="K8">
        <v>5</v>
      </c>
      <c r="L8">
        <v>93</v>
      </c>
      <c r="M8">
        <v>214</v>
      </c>
    </row>
    <row r="9" spans="1:13" x14ac:dyDescent="0.3">
      <c r="A9" s="26">
        <v>4</v>
      </c>
      <c r="B9">
        <v>6</v>
      </c>
      <c r="C9">
        <v>17</v>
      </c>
      <c r="D9">
        <v>6</v>
      </c>
      <c r="E9">
        <v>2</v>
      </c>
      <c r="F9">
        <v>1</v>
      </c>
      <c r="G9">
        <v>32</v>
      </c>
      <c r="H9">
        <v>2</v>
      </c>
      <c r="I9">
        <v>5</v>
      </c>
      <c r="J9">
        <v>10</v>
      </c>
      <c r="K9">
        <v>2</v>
      </c>
      <c r="L9">
        <v>19</v>
      </c>
      <c r="M9">
        <v>51</v>
      </c>
    </row>
    <row r="10" spans="1:13" x14ac:dyDescent="0.3">
      <c r="A10" s="26" t="s">
        <v>555</v>
      </c>
      <c r="B10">
        <v>101</v>
      </c>
      <c r="C10">
        <v>134</v>
      </c>
      <c r="D10">
        <v>65</v>
      </c>
      <c r="E10">
        <v>8</v>
      </c>
      <c r="F10">
        <v>4</v>
      </c>
      <c r="G10">
        <v>312</v>
      </c>
      <c r="H10">
        <v>59</v>
      </c>
      <c r="I10">
        <v>93</v>
      </c>
      <c r="J10">
        <v>67</v>
      </c>
      <c r="K10">
        <v>12</v>
      </c>
      <c r="L10">
        <v>231</v>
      </c>
      <c r="M10">
        <v>543</v>
      </c>
    </row>
    <row r="12" spans="1:13" x14ac:dyDescent="0.3">
      <c r="B12" s="30" t="s">
        <v>575</v>
      </c>
      <c r="C12" s="30"/>
      <c r="D12" s="30"/>
      <c r="E12" s="30"/>
    </row>
    <row r="13" spans="1:13" x14ac:dyDescent="0.3">
      <c r="B13" s="23" t="s">
        <v>571</v>
      </c>
      <c r="C13" s="23" t="s">
        <v>572</v>
      </c>
      <c r="D13" s="23" t="s">
        <v>573</v>
      </c>
      <c r="E13" s="23" t="s">
        <v>574</v>
      </c>
    </row>
    <row r="14" spans="1:13" x14ac:dyDescent="0.3">
      <c r="A14" s="27" t="s">
        <v>565</v>
      </c>
      <c r="B14">
        <v>8</v>
      </c>
      <c r="C14">
        <v>24</v>
      </c>
      <c r="D14">
        <v>19</v>
      </c>
      <c r="E14">
        <v>2</v>
      </c>
      <c r="F14" s="20">
        <f>SUM(B14:E14)</f>
        <v>53</v>
      </c>
    </row>
    <row r="15" spans="1:13" x14ac:dyDescent="0.3">
      <c r="A15" s="27" t="s">
        <v>566</v>
      </c>
      <c r="B15">
        <v>32</v>
      </c>
      <c r="C15">
        <v>49</v>
      </c>
      <c r="D15">
        <v>20</v>
      </c>
      <c r="E15">
        <v>2</v>
      </c>
      <c r="F15" s="20">
        <f t="shared" ref="F15:F18" si="0">SUM(B15:E15)</f>
        <v>103</v>
      </c>
    </row>
    <row r="16" spans="1:13" x14ac:dyDescent="0.3">
      <c r="A16" s="27" t="s">
        <v>567</v>
      </c>
      <c r="B16">
        <v>55</v>
      </c>
      <c r="C16">
        <v>44</v>
      </c>
      <c r="D16">
        <v>20</v>
      </c>
      <c r="E16">
        <v>2</v>
      </c>
      <c r="F16" s="20">
        <f t="shared" si="0"/>
        <v>121</v>
      </c>
    </row>
    <row r="17" spans="1:8" x14ac:dyDescent="0.3">
      <c r="A17" s="27" t="s">
        <v>568</v>
      </c>
      <c r="B17">
        <v>6</v>
      </c>
      <c r="C17">
        <v>17</v>
      </c>
      <c r="D17">
        <v>6</v>
      </c>
      <c r="E17">
        <v>2</v>
      </c>
      <c r="F17" s="20">
        <f t="shared" si="0"/>
        <v>31</v>
      </c>
    </row>
    <row r="18" spans="1:8" x14ac:dyDescent="0.3">
      <c r="A18" s="27" t="s">
        <v>569</v>
      </c>
      <c r="B18" s="20">
        <f>SUM(B14:B17)</f>
        <v>101</v>
      </c>
      <c r="C18" s="20">
        <f t="shared" ref="C18:E18" si="1">SUM(C14:C17)</f>
        <v>134</v>
      </c>
      <c r="D18" s="20">
        <f t="shared" si="1"/>
        <v>65</v>
      </c>
      <c r="E18" s="20">
        <f t="shared" si="1"/>
        <v>8</v>
      </c>
      <c r="F18" s="20">
        <f t="shared" si="0"/>
        <v>308</v>
      </c>
    </row>
    <row r="20" spans="1:8" x14ac:dyDescent="0.3">
      <c r="B20" s="31" t="s">
        <v>576</v>
      </c>
      <c r="C20" s="31"/>
      <c r="D20" s="31"/>
      <c r="E20" s="31"/>
    </row>
    <row r="21" spans="1:8" x14ac:dyDescent="0.3">
      <c r="B21" s="23" t="s">
        <v>571</v>
      </c>
      <c r="C21" s="23" t="s">
        <v>572</v>
      </c>
      <c r="D21" s="23" t="s">
        <v>573</v>
      </c>
      <c r="E21" s="23" t="s">
        <v>574</v>
      </c>
    </row>
    <row r="22" spans="1:8" x14ac:dyDescent="0.3">
      <c r="A22" s="27" t="s">
        <v>565</v>
      </c>
      <c r="B22">
        <f>B$18*$F14/$F$18</f>
        <v>17.379870129870131</v>
      </c>
      <c r="C22">
        <f t="shared" ref="C22:E22" si="2">C$18*$F14/$F$18</f>
        <v>23.058441558441558</v>
      </c>
      <c r="D22">
        <f t="shared" si="2"/>
        <v>11.185064935064934</v>
      </c>
      <c r="E22">
        <f t="shared" si="2"/>
        <v>1.3766233766233766</v>
      </c>
    </row>
    <row r="23" spans="1:8" x14ac:dyDescent="0.3">
      <c r="A23" s="27" t="s">
        <v>566</v>
      </c>
      <c r="B23">
        <f t="shared" ref="B23:E25" si="3">B$18*$F15/$F$18</f>
        <v>33.775974025974023</v>
      </c>
      <c r="C23">
        <f t="shared" si="3"/>
        <v>44.811688311688314</v>
      </c>
      <c r="D23">
        <f t="shared" si="3"/>
        <v>21.737012987012989</v>
      </c>
      <c r="E23">
        <f t="shared" si="3"/>
        <v>2.6753246753246751</v>
      </c>
    </row>
    <row r="24" spans="1:8" x14ac:dyDescent="0.3">
      <c r="A24" s="27" t="s">
        <v>567</v>
      </c>
      <c r="B24">
        <f t="shared" si="3"/>
        <v>39.678571428571431</v>
      </c>
      <c r="C24">
        <f t="shared" si="3"/>
        <v>52.642857142857146</v>
      </c>
      <c r="D24">
        <f t="shared" si="3"/>
        <v>25.535714285714285</v>
      </c>
      <c r="E24">
        <f t="shared" si="3"/>
        <v>3.1428571428571428</v>
      </c>
      <c r="G24" t="s">
        <v>578</v>
      </c>
      <c r="H24" s="28">
        <f>_xlfn.CHISQ.TEST(B14:E17,B22:E25)</f>
        <v>2.9403131123194684E-3</v>
      </c>
    </row>
    <row r="25" spans="1:8" x14ac:dyDescent="0.3">
      <c r="A25" s="27" t="s">
        <v>568</v>
      </c>
      <c r="B25">
        <f t="shared" si="3"/>
        <v>10.165584415584416</v>
      </c>
      <c r="C25">
        <f t="shared" si="3"/>
        <v>13.487012987012987</v>
      </c>
      <c r="D25">
        <f t="shared" si="3"/>
        <v>6.5422077922077921</v>
      </c>
      <c r="E25">
        <f t="shared" si="3"/>
        <v>0.80519480519480524</v>
      </c>
    </row>
    <row r="27" spans="1:8" x14ac:dyDescent="0.3">
      <c r="B27" s="31" t="s">
        <v>577</v>
      </c>
      <c r="C27" s="31"/>
      <c r="D27" s="31"/>
      <c r="E27" s="31"/>
    </row>
    <row r="28" spans="1:8" x14ac:dyDescent="0.3">
      <c r="B28" s="23" t="s">
        <v>571</v>
      </c>
      <c r="C28" s="23" t="s">
        <v>572</v>
      </c>
      <c r="D28" s="23" t="s">
        <v>573</v>
      </c>
      <c r="E28" s="23" t="s">
        <v>574</v>
      </c>
    </row>
    <row r="29" spans="1:8" x14ac:dyDescent="0.3">
      <c r="A29" s="27" t="s">
        <v>565</v>
      </c>
      <c r="B29">
        <f>(B14-B22)^2/B22</f>
        <v>5.0622912021660396</v>
      </c>
      <c r="C29">
        <f t="shared" ref="C29:E29" si="4">(C14-C22)^2/C22</f>
        <v>3.8447190657835577E-2</v>
      </c>
      <c r="D29">
        <f t="shared" si="4"/>
        <v>5.4602463574161693</v>
      </c>
      <c r="E29">
        <f t="shared" si="4"/>
        <v>0.28228375398186717</v>
      </c>
    </row>
    <row r="30" spans="1:8" x14ac:dyDescent="0.3">
      <c r="A30" s="27" t="s">
        <v>566</v>
      </c>
      <c r="B30">
        <f t="shared" ref="B30:E30" si="5">(B15-B23)^2/B23</f>
        <v>9.3382465847139148E-2</v>
      </c>
      <c r="C30">
        <f t="shared" si="5"/>
        <v>0.39145935936256121</v>
      </c>
      <c r="D30">
        <f t="shared" si="5"/>
        <v>0.13880536938789392</v>
      </c>
      <c r="E30">
        <f t="shared" si="5"/>
        <v>0.17047030639263638</v>
      </c>
    </row>
    <row r="31" spans="1:8" x14ac:dyDescent="0.3">
      <c r="A31" s="27" t="s">
        <v>567</v>
      </c>
      <c r="B31">
        <f t="shared" ref="B31:E31" si="6">(B16-B24)^2/B24</f>
        <v>5.916195190947664</v>
      </c>
      <c r="C31">
        <f t="shared" si="6"/>
        <v>1.4189765458422183</v>
      </c>
      <c r="D31">
        <f t="shared" si="6"/>
        <v>1.2000499500499497</v>
      </c>
      <c r="E31">
        <f t="shared" si="6"/>
        <v>0.41558441558441556</v>
      </c>
    </row>
    <row r="32" spans="1:8" x14ac:dyDescent="0.3">
      <c r="A32" s="27" t="s">
        <v>568</v>
      </c>
      <c r="B32">
        <f t="shared" ref="B32:E32" si="7">(B17-B25)^2/B25</f>
        <v>1.7069450032560862</v>
      </c>
      <c r="C32">
        <f t="shared" si="7"/>
        <v>0.9150341714135648</v>
      </c>
      <c r="D32">
        <f t="shared" si="7"/>
        <v>4.4937320743772345E-2</v>
      </c>
      <c r="E32">
        <f t="shared" si="7"/>
        <v>1.772936740678676</v>
      </c>
      <c r="G32" t="s">
        <v>577</v>
      </c>
      <c r="H32">
        <f>SUM(B29:E32)</f>
        <v>25.028045343728493</v>
      </c>
    </row>
    <row r="33" spans="7:8" x14ac:dyDescent="0.3">
      <c r="G33" t="s">
        <v>558</v>
      </c>
      <c r="H33">
        <f>(4-1)*(4-1)</f>
        <v>9</v>
      </c>
    </row>
  </sheetData>
  <mergeCells count="3">
    <mergeCell ref="B12:E12"/>
    <mergeCell ref="B20:E20"/>
    <mergeCell ref="B27:E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D356-5358-455D-92B6-5E5306DEB95C}">
  <dimension ref="A1:X584"/>
  <sheetViews>
    <sheetView tabSelected="1" zoomScale="99" zoomScaleNormal="99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2" width="9.109375" style="1"/>
    <col min="3" max="3" width="26.5546875" style="11" customWidth="1"/>
    <col min="4" max="4" width="26.5546875" style="1" customWidth="1"/>
    <col min="5" max="6" width="9.109375" style="1"/>
    <col min="7" max="7" width="9.5546875" style="18" bestFit="1" customWidth="1"/>
    <col min="8" max="9" width="9.109375" style="1"/>
    <col min="10" max="10" width="9.109375" style="6"/>
    <col min="11" max="11" width="9.109375" style="1"/>
    <col min="12" max="12" width="8.88671875" style="20"/>
    <col min="15" max="15" width="12.5546875" bestFit="1" customWidth="1"/>
  </cols>
  <sheetData>
    <row r="1" spans="1:21" ht="18.600000000000001" thickBot="1" x14ac:dyDescent="0.4">
      <c r="A1" s="7" t="s">
        <v>502</v>
      </c>
      <c r="B1" s="7" t="s">
        <v>0</v>
      </c>
      <c r="C1" s="21" t="s">
        <v>1</v>
      </c>
      <c r="D1" s="8" t="s">
        <v>501</v>
      </c>
      <c r="E1" s="7" t="s">
        <v>2</v>
      </c>
      <c r="F1" s="7" t="s">
        <v>3</v>
      </c>
      <c r="G1" s="17" t="s">
        <v>4</v>
      </c>
      <c r="H1" s="9" t="s">
        <v>5</v>
      </c>
      <c r="I1" s="7" t="s">
        <v>6</v>
      </c>
      <c r="J1" s="10" t="s">
        <v>7</v>
      </c>
      <c r="K1" s="7" t="s">
        <v>8</v>
      </c>
      <c r="L1" s="25"/>
      <c r="M1" s="2"/>
      <c r="N1" s="2"/>
      <c r="O1" s="2"/>
      <c r="P1" s="2"/>
    </row>
    <row r="2" spans="1:21" x14ac:dyDescent="0.3">
      <c r="A2" s="1" t="s">
        <v>11</v>
      </c>
      <c r="B2" s="1" t="s">
        <v>9</v>
      </c>
      <c r="C2" s="11">
        <v>41105</v>
      </c>
      <c r="D2" s="12">
        <f t="shared" ref="D2:D65" si="0">ROUNDUP(MONTH(C2)/3,0)</f>
        <v>3</v>
      </c>
      <c r="E2" s="1">
        <v>213</v>
      </c>
      <c r="F2" s="1">
        <v>192</v>
      </c>
      <c r="G2" s="19">
        <v>183.9</v>
      </c>
      <c r="H2" s="13" t="s">
        <v>10</v>
      </c>
      <c r="I2" s="1">
        <v>4</v>
      </c>
      <c r="J2" s="6">
        <v>9.9</v>
      </c>
      <c r="K2" s="1">
        <v>0</v>
      </c>
      <c r="L2" s="29"/>
      <c r="O2" s="3"/>
    </row>
    <row r="3" spans="1:21" x14ac:dyDescent="0.3">
      <c r="A3" s="1" t="s">
        <v>12</v>
      </c>
      <c r="B3" s="1" t="s">
        <v>9</v>
      </c>
      <c r="C3" s="11">
        <v>41105</v>
      </c>
      <c r="D3" s="12">
        <f t="shared" si="0"/>
        <v>3</v>
      </c>
      <c r="E3" s="1">
        <v>212</v>
      </c>
      <c r="F3" s="1">
        <v>196</v>
      </c>
      <c r="G3" s="19">
        <v>186.8</v>
      </c>
      <c r="H3" s="13" t="s">
        <v>10</v>
      </c>
      <c r="I3" s="1">
        <v>4</v>
      </c>
      <c r="J3" s="6">
        <v>9.1</v>
      </c>
      <c r="K3" s="1">
        <v>2</v>
      </c>
      <c r="L3" s="29"/>
      <c r="O3" s="3"/>
    </row>
    <row r="4" spans="1:21" x14ac:dyDescent="0.3">
      <c r="A4" s="1" t="s">
        <v>13</v>
      </c>
      <c r="B4" s="1" t="s">
        <v>9</v>
      </c>
      <c r="C4" s="11">
        <v>41105</v>
      </c>
      <c r="D4" s="12">
        <f t="shared" si="0"/>
        <v>3</v>
      </c>
      <c r="E4" s="1">
        <v>205</v>
      </c>
      <c r="F4" s="1">
        <v>194</v>
      </c>
      <c r="G4" s="19">
        <v>173</v>
      </c>
      <c r="H4" s="13" t="s">
        <v>10</v>
      </c>
      <c r="I4" s="1">
        <v>4</v>
      </c>
      <c r="J4" s="6">
        <v>9.4</v>
      </c>
      <c r="K4" s="1">
        <v>1</v>
      </c>
      <c r="L4" s="29"/>
      <c r="O4" s="3"/>
      <c r="Q4" s="4"/>
    </row>
    <row r="5" spans="1:21" x14ac:dyDescent="0.3">
      <c r="A5" s="1" t="s">
        <v>14</v>
      </c>
      <c r="B5" s="1" t="s">
        <v>9</v>
      </c>
      <c r="C5" s="11">
        <v>41105</v>
      </c>
      <c r="D5" s="12">
        <f t="shared" si="0"/>
        <v>3</v>
      </c>
      <c r="E5" s="1">
        <v>247</v>
      </c>
      <c r="F5" s="1">
        <v>227</v>
      </c>
      <c r="G5" s="19">
        <v>320</v>
      </c>
      <c r="H5" s="13" t="s">
        <v>10</v>
      </c>
      <c r="I5" s="1">
        <v>3</v>
      </c>
      <c r="J5" s="6">
        <v>21</v>
      </c>
      <c r="K5" s="1">
        <v>0</v>
      </c>
      <c r="L5" s="29"/>
      <c r="O5" s="3"/>
    </row>
    <row r="6" spans="1:21" x14ac:dyDescent="0.3">
      <c r="A6" s="1" t="s">
        <v>15</v>
      </c>
      <c r="B6" s="1" t="s">
        <v>9</v>
      </c>
      <c r="C6" s="11">
        <v>41105</v>
      </c>
      <c r="D6" s="12">
        <f t="shared" si="0"/>
        <v>3</v>
      </c>
      <c r="E6" s="1">
        <v>256</v>
      </c>
      <c r="F6" s="1">
        <v>240</v>
      </c>
      <c r="G6" s="19">
        <v>387</v>
      </c>
      <c r="H6" s="13" t="s">
        <v>10</v>
      </c>
      <c r="I6" s="1">
        <v>4</v>
      </c>
      <c r="J6" s="6">
        <v>35</v>
      </c>
      <c r="K6" s="1">
        <v>1</v>
      </c>
      <c r="L6" s="29"/>
      <c r="O6" s="3"/>
    </row>
    <row r="7" spans="1:21" x14ac:dyDescent="0.3">
      <c r="A7" s="1" t="s">
        <v>16</v>
      </c>
      <c r="B7" s="1" t="s">
        <v>9</v>
      </c>
      <c r="C7" s="11">
        <v>41456</v>
      </c>
      <c r="D7" s="12">
        <f t="shared" si="0"/>
        <v>3</v>
      </c>
      <c r="E7" s="1">
        <v>211</v>
      </c>
      <c r="F7" s="1">
        <v>198</v>
      </c>
      <c r="G7" s="19">
        <v>203.6</v>
      </c>
      <c r="H7" s="13" t="s">
        <v>10</v>
      </c>
      <c r="I7" s="1">
        <v>3</v>
      </c>
      <c r="J7" s="6">
        <v>12</v>
      </c>
      <c r="K7" s="1">
        <v>2</v>
      </c>
      <c r="L7" s="29"/>
      <c r="O7" s="3"/>
    </row>
    <row r="8" spans="1:21" x14ac:dyDescent="0.3">
      <c r="A8" s="1" t="s">
        <v>17</v>
      </c>
      <c r="B8" s="1" t="s">
        <v>9</v>
      </c>
      <c r="C8" s="11">
        <v>41061</v>
      </c>
      <c r="D8" s="12">
        <f t="shared" si="0"/>
        <v>2</v>
      </c>
      <c r="E8" s="1">
        <v>250</v>
      </c>
      <c r="F8" s="1">
        <v>221</v>
      </c>
      <c r="G8" s="19">
        <v>327.39999999999998</v>
      </c>
      <c r="H8" s="13" t="s">
        <v>10</v>
      </c>
      <c r="I8" s="1">
        <v>4</v>
      </c>
      <c r="J8" s="6">
        <v>28.5</v>
      </c>
      <c r="K8" s="1">
        <v>0</v>
      </c>
      <c r="L8" s="29"/>
      <c r="O8" s="3"/>
    </row>
    <row r="9" spans="1:21" x14ac:dyDescent="0.3">
      <c r="A9" s="1" t="s">
        <v>18</v>
      </c>
      <c r="B9" s="1" t="s">
        <v>9</v>
      </c>
      <c r="C9" s="11">
        <v>41061</v>
      </c>
      <c r="D9" s="12">
        <f t="shared" si="0"/>
        <v>2</v>
      </c>
      <c r="E9" s="1">
        <v>209</v>
      </c>
      <c r="F9" s="1">
        <v>190</v>
      </c>
      <c r="G9" s="19">
        <v>183.4</v>
      </c>
      <c r="H9" s="13" t="s">
        <v>10</v>
      </c>
      <c r="I9" s="1">
        <v>4</v>
      </c>
      <c r="J9" s="6">
        <v>9.8000000000000007</v>
      </c>
      <c r="K9" s="1">
        <v>0</v>
      </c>
      <c r="L9" s="29"/>
      <c r="O9" s="3"/>
    </row>
    <row r="10" spans="1:21" x14ac:dyDescent="0.3">
      <c r="A10" s="1" t="s">
        <v>19</v>
      </c>
      <c r="B10" s="1" t="s">
        <v>9</v>
      </c>
      <c r="C10" s="11">
        <v>41108</v>
      </c>
      <c r="D10" s="12">
        <f t="shared" si="0"/>
        <v>3</v>
      </c>
      <c r="E10" s="1">
        <v>257</v>
      </c>
      <c r="F10" s="1">
        <v>232</v>
      </c>
      <c r="G10" s="19">
        <v>293</v>
      </c>
      <c r="H10" s="13" t="s">
        <v>10</v>
      </c>
      <c r="I10" s="1">
        <v>5</v>
      </c>
      <c r="J10" s="6">
        <v>10.3</v>
      </c>
      <c r="K10" s="1">
        <v>0</v>
      </c>
      <c r="L10" s="29"/>
      <c r="O10" s="3"/>
    </row>
    <row r="11" spans="1:21" x14ac:dyDescent="0.3">
      <c r="A11" s="1" t="s">
        <v>20</v>
      </c>
      <c r="B11" s="1" t="s">
        <v>9</v>
      </c>
      <c r="C11" s="11">
        <v>41108</v>
      </c>
      <c r="D11" s="12">
        <f t="shared" si="0"/>
        <v>3</v>
      </c>
      <c r="E11" s="1">
        <v>215</v>
      </c>
      <c r="F11" s="1">
        <v>198</v>
      </c>
      <c r="G11" s="19">
        <v>187</v>
      </c>
      <c r="H11" s="13" t="s">
        <v>10</v>
      </c>
      <c r="I11" s="1">
        <v>4</v>
      </c>
      <c r="J11" s="6">
        <v>4.2</v>
      </c>
      <c r="K11" s="1">
        <v>0</v>
      </c>
      <c r="L11" s="29"/>
      <c r="O11" s="3"/>
    </row>
    <row r="12" spans="1:21" x14ac:dyDescent="0.3">
      <c r="A12" s="1" t="s">
        <v>21</v>
      </c>
      <c r="B12" s="1" t="s">
        <v>9</v>
      </c>
      <c r="C12" s="11">
        <v>41084</v>
      </c>
      <c r="D12" s="12">
        <f t="shared" si="0"/>
        <v>2</v>
      </c>
      <c r="E12" s="1">
        <v>291</v>
      </c>
      <c r="F12" s="1">
        <v>262</v>
      </c>
      <c r="G12" s="19">
        <v>556.4</v>
      </c>
      <c r="H12" s="13" t="s">
        <v>10</v>
      </c>
      <c r="I12" s="1">
        <v>4</v>
      </c>
      <c r="J12" s="6">
        <v>30.3</v>
      </c>
      <c r="K12" s="1">
        <v>2</v>
      </c>
      <c r="L12" s="29"/>
      <c r="O12" s="3"/>
      <c r="Q12" s="5"/>
      <c r="R12" s="5"/>
      <c r="S12" s="5"/>
      <c r="T12" s="5"/>
      <c r="U12" s="5"/>
    </row>
    <row r="13" spans="1:21" x14ac:dyDescent="0.3">
      <c r="A13" s="1" t="s">
        <v>22</v>
      </c>
      <c r="B13" s="1" t="s">
        <v>9</v>
      </c>
      <c r="C13" s="11">
        <v>41084</v>
      </c>
      <c r="D13" s="12">
        <f t="shared" si="0"/>
        <v>2</v>
      </c>
      <c r="E13" s="1">
        <v>246</v>
      </c>
      <c r="F13" s="1">
        <v>223</v>
      </c>
      <c r="G13" s="19">
        <v>309.10000000000002</v>
      </c>
      <c r="H13" s="13" t="s">
        <v>10</v>
      </c>
      <c r="I13" s="1">
        <v>5</v>
      </c>
      <c r="J13" s="6">
        <v>24.6</v>
      </c>
      <c r="K13" s="1">
        <v>0</v>
      </c>
      <c r="L13" s="29"/>
      <c r="O13" s="3"/>
    </row>
    <row r="14" spans="1:21" x14ac:dyDescent="0.3">
      <c r="A14" s="1" t="s">
        <v>23</v>
      </c>
      <c r="B14" s="1" t="s">
        <v>9</v>
      </c>
      <c r="C14" s="11">
        <v>41084</v>
      </c>
      <c r="D14" s="12">
        <f t="shared" si="0"/>
        <v>2</v>
      </c>
      <c r="E14" s="1">
        <v>232</v>
      </c>
      <c r="F14" s="1">
        <v>210</v>
      </c>
      <c r="G14" s="19">
        <v>257</v>
      </c>
      <c r="H14" s="13" t="s">
        <v>10</v>
      </c>
      <c r="I14" s="1">
        <v>6</v>
      </c>
      <c r="J14" s="6">
        <v>23.1</v>
      </c>
      <c r="K14" s="1">
        <v>1</v>
      </c>
      <c r="L14" s="29"/>
      <c r="O14" s="3"/>
    </row>
    <row r="15" spans="1:21" x14ac:dyDescent="0.3">
      <c r="A15" s="1" t="s">
        <v>24</v>
      </c>
      <c r="B15" s="1" t="s">
        <v>9</v>
      </c>
      <c r="C15" s="11">
        <v>41119</v>
      </c>
      <c r="D15" s="12">
        <f t="shared" si="0"/>
        <v>3</v>
      </c>
      <c r="E15" s="1">
        <v>220</v>
      </c>
      <c r="F15" s="1">
        <v>195</v>
      </c>
      <c r="G15" s="19">
        <v>217</v>
      </c>
      <c r="H15" s="13" t="s">
        <v>10</v>
      </c>
      <c r="I15" s="1">
        <v>6</v>
      </c>
      <c r="J15" s="6">
        <v>14.5</v>
      </c>
      <c r="K15" s="1">
        <v>0</v>
      </c>
      <c r="L15" s="29"/>
      <c r="O15" s="3"/>
    </row>
    <row r="16" spans="1:21" x14ac:dyDescent="0.3">
      <c r="A16" s="1" t="s">
        <v>25</v>
      </c>
      <c r="B16" s="1" t="s">
        <v>9</v>
      </c>
      <c r="C16" s="11">
        <v>41119</v>
      </c>
      <c r="D16" s="12">
        <f t="shared" si="0"/>
        <v>3</v>
      </c>
      <c r="E16" s="1">
        <v>221</v>
      </c>
      <c r="F16" s="1">
        <v>198</v>
      </c>
      <c r="G16" s="19">
        <v>219</v>
      </c>
      <c r="H16" s="13" t="s">
        <v>10</v>
      </c>
      <c r="I16" s="1">
        <v>5</v>
      </c>
      <c r="J16" s="6">
        <v>15.4</v>
      </c>
      <c r="K16" s="1">
        <v>0</v>
      </c>
      <c r="L16" s="29"/>
      <c r="O16" s="3"/>
    </row>
    <row r="17" spans="1:24" x14ac:dyDescent="0.3">
      <c r="A17" s="1" t="s">
        <v>26</v>
      </c>
      <c r="B17" s="1" t="s">
        <v>9</v>
      </c>
      <c r="C17" s="11">
        <v>41119</v>
      </c>
      <c r="D17" s="12">
        <f t="shared" si="0"/>
        <v>3</v>
      </c>
      <c r="E17" s="1">
        <v>215</v>
      </c>
      <c r="F17" s="1">
        <v>195</v>
      </c>
      <c r="G17" s="19">
        <v>218</v>
      </c>
      <c r="H17" s="13" t="s">
        <v>10</v>
      </c>
      <c r="I17" s="1">
        <v>6</v>
      </c>
      <c r="J17" s="6">
        <v>18.100000000000001</v>
      </c>
      <c r="K17" s="1">
        <v>0</v>
      </c>
      <c r="L17" s="29"/>
      <c r="O17" s="3"/>
      <c r="Q17" s="5"/>
      <c r="R17" s="5"/>
      <c r="S17" s="5"/>
      <c r="T17" s="5"/>
      <c r="U17" s="5"/>
      <c r="V17" s="5"/>
      <c r="W17" s="5"/>
      <c r="X17" s="5"/>
    </row>
    <row r="18" spans="1:24" x14ac:dyDescent="0.3">
      <c r="A18" s="1" t="s">
        <v>27</v>
      </c>
      <c r="B18" s="1" t="s">
        <v>9</v>
      </c>
      <c r="C18" s="11">
        <v>41119</v>
      </c>
      <c r="D18" s="12">
        <f t="shared" si="0"/>
        <v>3</v>
      </c>
      <c r="E18" s="1">
        <v>240</v>
      </c>
      <c r="F18" s="1">
        <v>220</v>
      </c>
      <c r="G18" s="19">
        <v>286</v>
      </c>
      <c r="H18" s="13" t="s">
        <v>28</v>
      </c>
      <c r="I18" s="1">
        <v>6</v>
      </c>
      <c r="J18" s="6">
        <v>21.2</v>
      </c>
      <c r="K18" s="1">
        <v>0</v>
      </c>
      <c r="L18" s="29"/>
      <c r="O18" s="3"/>
    </row>
    <row r="19" spans="1:24" x14ac:dyDescent="0.3">
      <c r="A19" s="1" t="s">
        <v>29</v>
      </c>
      <c r="B19" s="1" t="s">
        <v>9</v>
      </c>
      <c r="C19" s="11">
        <v>41108</v>
      </c>
      <c r="D19" s="12">
        <f t="shared" si="0"/>
        <v>3</v>
      </c>
      <c r="E19" s="1">
        <v>249</v>
      </c>
      <c r="F19" s="1">
        <v>226</v>
      </c>
      <c r="G19" s="19">
        <v>284</v>
      </c>
      <c r="H19" s="13" t="s">
        <v>28</v>
      </c>
      <c r="I19" s="1">
        <v>2</v>
      </c>
      <c r="J19" s="6">
        <v>0.6</v>
      </c>
      <c r="K19" s="1">
        <v>0</v>
      </c>
      <c r="L19" s="29"/>
      <c r="O19" s="3"/>
    </row>
    <row r="20" spans="1:24" x14ac:dyDescent="0.3">
      <c r="A20" s="1" t="s">
        <v>30</v>
      </c>
      <c r="B20" s="1" t="s">
        <v>9</v>
      </c>
      <c r="C20" s="11">
        <v>41108</v>
      </c>
      <c r="D20" s="12">
        <f t="shared" si="0"/>
        <v>3</v>
      </c>
      <c r="E20" s="1">
        <v>258</v>
      </c>
      <c r="F20" s="1">
        <v>237</v>
      </c>
      <c r="G20" s="19">
        <v>348</v>
      </c>
      <c r="H20" s="13" t="s">
        <v>10</v>
      </c>
      <c r="I20" s="1">
        <v>4</v>
      </c>
      <c r="J20" s="6">
        <v>19.3</v>
      </c>
      <c r="K20" s="1">
        <v>0</v>
      </c>
      <c r="L20" s="29"/>
      <c r="O20" s="3"/>
    </row>
    <row r="21" spans="1:24" x14ac:dyDescent="0.3">
      <c r="A21" s="1" t="s">
        <v>31</v>
      </c>
      <c r="B21" s="1" t="s">
        <v>9</v>
      </c>
      <c r="C21" s="11">
        <v>41108</v>
      </c>
      <c r="D21" s="12">
        <f t="shared" si="0"/>
        <v>3</v>
      </c>
      <c r="E21" s="1">
        <v>273</v>
      </c>
      <c r="F21" s="1">
        <v>249</v>
      </c>
      <c r="G21" s="19">
        <v>408</v>
      </c>
      <c r="H21" s="13" t="s">
        <v>10</v>
      </c>
      <c r="I21" s="1">
        <v>3</v>
      </c>
      <c r="J21" s="6">
        <v>15</v>
      </c>
      <c r="K21" s="1">
        <v>1</v>
      </c>
      <c r="L21" s="29"/>
      <c r="O21" s="3"/>
    </row>
    <row r="22" spans="1:24" x14ac:dyDescent="0.3">
      <c r="A22" s="1" t="s">
        <v>32</v>
      </c>
      <c r="B22" s="1" t="s">
        <v>9</v>
      </c>
      <c r="C22" s="11">
        <v>42448</v>
      </c>
      <c r="D22" s="12">
        <f t="shared" si="0"/>
        <v>1</v>
      </c>
      <c r="E22" s="1">
        <v>244</v>
      </c>
      <c r="F22" s="1">
        <v>220</v>
      </c>
      <c r="G22" s="19">
        <v>320</v>
      </c>
      <c r="H22" s="13" t="s">
        <v>10</v>
      </c>
      <c r="I22" s="1">
        <v>5</v>
      </c>
      <c r="J22" s="6">
        <v>17.2</v>
      </c>
      <c r="K22" s="1">
        <v>1</v>
      </c>
      <c r="L22" s="29"/>
      <c r="O22" s="3"/>
    </row>
    <row r="23" spans="1:24" x14ac:dyDescent="0.3">
      <c r="A23" s="1" t="s">
        <v>33</v>
      </c>
      <c r="B23" s="1" t="s">
        <v>9</v>
      </c>
      <c r="C23" s="11">
        <v>41105</v>
      </c>
      <c r="D23" s="12">
        <f t="shared" si="0"/>
        <v>3</v>
      </c>
      <c r="E23" s="1">
        <v>205</v>
      </c>
      <c r="F23" s="1">
        <v>185</v>
      </c>
      <c r="G23" s="19">
        <v>182</v>
      </c>
      <c r="H23" s="13" t="s">
        <v>10</v>
      </c>
      <c r="I23" s="1">
        <v>2</v>
      </c>
      <c r="J23" s="6">
        <v>5.4</v>
      </c>
      <c r="K23" s="1">
        <v>1</v>
      </c>
      <c r="L23" s="29"/>
      <c r="O23" s="3"/>
    </row>
    <row r="24" spans="1:24" x14ac:dyDescent="0.3">
      <c r="A24" s="1" t="s">
        <v>34</v>
      </c>
      <c r="B24" s="1" t="s">
        <v>9</v>
      </c>
      <c r="C24" s="11">
        <v>41017</v>
      </c>
      <c r="D24" s="12">
        <f t="shared" si="0"/>
        <v>2</v>
      </c>
      <c r="E24" s="1">
        <v>215</v>
      </c>
      <c r="F24" s="1">
        <v>200</v>
      </c>
      <c r="G24" s="19">
        <v>198</v>
      </c>
      <c r="H24" s="13" t="s">
        <v>10</v>
      </c>
      <c r="I24" s="1">
        <v>4</v>
      </c>
      <c r="J24" s="6">
        <v>11.3</v>
      </c>
      <c r="K24" s="1">
        <v>0</v>
      </c>
      <c r="L24" s="29"/>
      <c r="O24" s="3"/>
    </row>
    <row r="25" spans="1:24" x14ac:dyDescent="0.3">
      <c r="A25" s="1" t="s">
        <v>35</v>
      </c>
      <c r="B25" s="1" t="s">
        <v>9</v>
      </c>
      <c r="C25" s="11">
        <v>41017</v>
      </c>
      <c r="D25" s="12">
        <f t="shared" si="0"/>
        <v>2</v>
      </c>
      <c r="E25" s="1">
        <v>210</v>
      </c>
      <c r="F25" s="1">
        <v>190</v>
      </c>
      <c r="G25" s="19">
        <v>202</v>
      </c>
      <c r="H25" s="13" t="s">
        <v>10</v>
      </c>
      <c r="I25" s="1">
        <v>5</v>
      </c>
      <c r="J25" s="6">
        <v>19.399999999999999</v>
      </c>
      <c r="K25" s="1">
        <v>0</v>
      </c>
      <c r="L25" s="29"/>
      <c r="O25" s="3"/>
    </row>
    <row r="26" spans="1:24" x14ac:dyDescent="0.3">
      <c r="A26" s="1" t="s">
        <v>36</v>
      </c>
      <c r="B26" s="1" t="s">
        <v>9</v>
      </c>
      <c r="C26" s="11">
        <v>41119</v>
      </c>
      <c r="D26" s="12">
        <f t="shared" si="0"/>
        <v>3</v>
      </c>
      <c r="E26" s="1">
        <v>226</v>
      </c>
      <c r="F26" s="1">
        <v>204</v>
      </c>
      <c r="G26" s="19">
        <v>223</v>
      </c>
      <c r="H26" s="13" t="s">
        <v>28</v>
      </c>
      <c r="I26" s="1">
        <v>3</v>
      </c>
      <c r="J26" s="6">
        <v>1.1000000000000001</v>
      </c>
      <c r="K26" s="1">
        <v>0</v>
      </c>
      <c r="L26" s="29"/>
      <c r="O26" s="3"/>
    </row>
    <row r="27" spans="1:24" x14ac:dyDescent="0.3">
      <c r="A27" s="1" t="s">
        <v>37</v>
      </c>
      <c r="B27" s="1" t="s">
        <v>9</v>
      </c>
      <c r="C27" s="11">
        <v>41119</v>
      </c>
      <c r="D27" s="12">
        <f t="shared" si="0"/>
        <v>3</v>
      </c>
      <c r="E27" s="1">
        <v>233</v>
      </c>
      <c r="F27" s="1">
        <v>211</v>
      </c>
      <c r="G27" s="19">
        <v>226</v>
      </c>
      <c r="H27" s="13" t="s">
        <v>38</v>
      </c>
      <c r="I27" s="1">
        <v>2</v>
      </c>
      <c r="J27" s="6">
        <v>2</v>
      </c>
      <c r="K27" s="1">
        <v>0</v>
      </c>
      <c r="L27" s="29"/>
      <c r="O27" s="3"/>
    </row>
    <row r="28" spans="1:24" x14ac:dyDescent="0.3">
      <c r="A28" s="1" t="s">
        <v>39</v>
      </c>
      <c r="B28" s="1" t="s">
        <v>9</v>
      </c>
      <c r="C28" s="11">
        <v>41105</v>
      </c>
      <c r="D28" s="12">
        <f t="shared" si="0"/>
        <v>3</v>
      </c>
      <c r="E28" s="1">
        <v>210</v>
      </c>
      <c r="F28" s="1">
        <v>189</v>
      </c>
      <c r="G28" s="19">
        <v>186</v>
      </c>
      <c r="H28" s="13" t="s">
        <v>10</v>
      </c>
      <c r="I28" s="1">
        <v>4</v>
      </c>
      <c r="J28" s="6">
        <v>9.6999999999999993</v>
      </c>
      <c r="K28" s="1">
        <v>0</v>
      </c>
      <c r="L28" s="29"/>
      <c r="O28" s="3"/>
    </row>
    <row r="29" spans="1:24" x14ac:dyDescent="0.3">
      <c r="A29" s="1" t="s">
        <v>40</v>
      </c>
      <c r="B29" s="1" t="s">
        <v>9</v>
      </c>
      <c r="C29" s="11">
        <v>41133</v>
      </c>
      <c r="D29" s="12">
        <f t="shared" si="0"/>
        <v>3</v>
      </c>
      <c r="E29" s="1">
        <v>195</v>
      </c>
      <c r="F29" s="1">
        <v>176</v>
      </c>
      <c r="G29" s="19">
        <v>123.6</v>
      </c>
      <c r="H29" s="13" t="s">
        <v>10</v>
      </c>
      <c r="I29" s="1">
        <v>2</v>
      </c>
      <c r="J29" s="6">
        <v>1.4</v>
      </c>
      <c r="K29" s="1">
        <v>0</v>
      </c>
      <c r="L29" s="29"/>
      <c r="O29" s="3"/>
    </row>
    <row r="30" spans="1:24" x14ac:dyDescent="0.3">
      <c r="A30" s="1" t="s">
        <v>41</v>
      </c>
      <c r="B30" s="1" t="s">
        <v>9</v>
      </c>
      <c r="C30" s="11">
        <v>41456</v>
      </c>
      <c r="D30" s="12">
        <f t="shared" si="0"/>
        <v>3</v>
      </c>
      <c r="E30" s="1">
        <v>248</v>
      </c>
      <c r="F30" s="1">
        <v>227</v>
      </c>
      <c r="G30" s="19">
        <v>306</v>
      </c>
      <c r="H30" s="13" t="s">
        <v>10</v>
      </c>
      <c r="I30" s="1">
        <v>5</v>
      </c>
      <c r="J30" s="6">
        <v>19.5</v>
      </c>
      <c r="K30" s="1">
        <v>0</v>
      </c>
      <c r="L30" s="29"/>
      <c r="O30" s="3"/>
    </row>
    <row r="31" spans="1:24" x14ac:dyDescent="0.3">
      <c r="A31" s="1" t="s">
        <v>42</v>
      </c>
      <c r="B31" s="1" t="s">
        <v>9</v>
      </c>
      <c r="C31" s="11">
        <v>41167</v>
      </c>
      <c r="D31" s="12">
        <f t="shared" si="0"/>
        <v>3</v>
      </c>
      <c r="E31" s="1">
        <v>245</v>
      </c>
      <c r="F31" s="1">
        <v>223</v>
      </c>
      <c r="G31" s="19">
        <v>245</v>
      </c>
      <c r="H31" s="13" t="s">
        <v>28</v>
      </c>
      <c r="I31" s="1">
        <v>1</v>
      </c>
      <c r="J31" s="6">
        <v>0.4</v>
      </c>
      <c r="K31" s="1">
        <v>0</v>
      </c>
      <c r="L31" s="29"/>
      <c r="O31" s="3"/>
    </row>
    <row r="32" spans="1:24" x14ac:dyDescent="0.3">
      <c r="A32" s="1" t="s">
        <v>43</v>
      </c>
      <c r="B32" s="1" t="s">
        <v>9</v>
      </c>
      <c r="C32" s="11">
        <v>41147</v>
      </c>
      <c r="D32" s="12">
        <f t="shared" si="0"/>
        <v>3</v>
      </c>
      <c r="E32" s="1">
        <v>245</v>
      </c>
      <c r="F32" s="1">
        <v>223</v>
      </c>
      <c r="G32" s="19">
        <v>273</v>
      </c>
      <c r="H32" s="13" t="s">
        <v>10</v>
      </c>
      <c r="I32" s="1">
        <v>5</v>
      </c>
      <c r="J32" s="6">
        <v>12.5</v>
      </c>
      <c r="K32" s="1">
        <v>0</v>
      </c>
      <c r="L32" s="29"/>
      <c r="O32" s="3"/>
    </row>
    <row r="33" spans="1:15" x14ac:dyDescent="0.3">
      <c r="A33" s="1" t="s">
        <v>44</v>
      </c>
      <c r="B33" s="1" t="s">
        <v>9</v>
      </c>
      <c r="C33" s="11">
        <v>41167</v>
      </c>
      <c r="D33" s="12">
        <f t="shared" si="0"/>
        <v>3</v>
      </c>
      <c r="E33" s="1">
        <v>232</v>
      </c>
      <c r="F33" s="1">
        <v>210</v>
      </c>
      <c r="G33" s="19">
        <v>230</v>
      </c>
      <c r="H33" s="13" t="s">
        <v>10</v>
      </c>
      <c r="I33" s="1">
        <v>4</v>
      </c>
      <c r="J33" s="6">
        <v>8.1999999999999993</v>
      </c>
      <c r="K33" s="1">
        <v>0</v>
      </c>
      <c r="L33" s="29"/>
      <c r="O33" s="3"/>
    </row>
    <row r="34" spans="1:15" x14ac:dyDescent="0.3">
      <c r="A34" s="1" t="s">
        <v>45</v>
      </c>
      <c r="B34" s="1" t="s">
        <v>9</v>
      </c>
      <c r="C34" s="11">
        <v>41456</v>
      </c>
      <c r="D34" s="12">
        <f t="shared" si="0"/>
        <v>3</v>
      </c>
      <c r="E34" s="1">
        <v>205</v>
      </c>
      <c r="F34" s="1">
        <v>186</v>
      </c>
      <c r="G34" s="19">
        <v>175.7</v>
      </c>
      <c r="H34" s="13" t="s">
        <v>10</v>
      </c>
      <c r="I34" s="1">
        <v>5</v>
      </c>
      <c r="J34" s="6">
        <v>6.5</v>
      </c>
      <c r="K34" s="1">
        <v>0</v>
      </c>
      <c r="L34" s="29"/>
      <c r="O34" s="3"/>
    </row>
    <row r="35" spans="1:15" x14ac:dyDescent="0.3">
      <c r="A35" s="1" t="s">
        <v>46</v>
      </c>
      <c r="B35" s="1" t="s">
        <v>9</v>
      </c>
      <c r="C35" s="11">
        <v>41456</v>
      </c>
      <c r="D35" s="12">
        <f t="shared" si="0"/>
        <v>3</v>
      </c>
      <c r="E35" s="1">
        <v>211</v>
      </c>
      <c r="F35" s="1">
        <v>195</v>
      </c>
      <c r="G35" s="19">
        <v>208.9</v>
      </c>
      <c r="H35" s="13" t="s">
        <v>10</v>
      </c>
      <c r="I35" s="1">
        <v>6</v>
      </c>
      <c r="J35" s="6">
        <v>13.3</v>
      </c>
      <c r="K35" s="1">
        <v>0</v>
      </c>
      <c r="L35" s="29"/>
      <c r="O35" s="3"/>
    </row>
    <row r="36" spans="1:15" x14ac:dyDescent="0.3">
      <c r="A36" s="1" t="s">
        <v>47</v>
      </c>
      <c r="B36" s="1" t="s">
        <v>9</v>
      </c>
      <c r="C36" s="11">
        <v>41118</v>
      </c>
      <c r="D36" s="12">
        <f t="shared" si="0"/>
        <v>3</v>
      </c>
      <c r="E36" s="1">
        <v>238</v>
      </c>
      <c r="F36" s="1">
        <v>215</v>
      </c>
      <c r="G36" s="19">
        <v>245.2</v>
      </c>
      <c r="H36" s="13" t="s">
        <v>10</v>
      </c>
      <c r="I36" s="1">
        <v>4</v>
      </c>
      <c r="J36" s="6">
        <v>8.8000000000000007</v>
      </c>
      <c r="K36" s="1">
        <v>1</v>
      </c>
      <c r="L36" s="29"/>
      <c r="O36" s="3"/>
    </row>
    <row r="37" spans="1:15" x14ac:dyDescent="0.3">
      <c r="A37" s="1" t="s">
        <v>48</v>
      </c>
      <c r="B37" s="1" t="s">
        <v>9</v>
      </c>
      <c r="C37" s="11">
        <v>41133</v>
      </c>
      <c r="D37" s="12">
        <f t="shared" si="0"/>
        <v>3</v>
      </c>
      <c r="E37" s="1">
        <v>219</v>
      </c>
      <c r="F37" s="1">
        <v>197</v>
      </c>
      <c r="G37" s="19">
        <v>200</v>
      </c>
      <c r="H37" s="13" t="s">
        <v>28</v>
      </c>
      <c r="I37" s="1">
        <v>4</v>
      </c>
      <c r="J37" s="6">
        <v>6.3</v>
      </c>
      <c r="K37" s="1">
        <v>0</v>
      </c>
      <c r="L37" s="29"/>
      <c r="O37" s="3"/>
    </row>
    <row r="38" spans="1:15" x14ac:dyDescent="0.3">
      <c r="A38" s="1" t="s">
        <v>49</v>
      </c>
      <c r="B38" s="1" t="s">
        <v>9</v>
      </c>
      <c r="C38" s="11">
        <v>41164</v>
      </c>
      <c r="D38" s="12">
        <f t="shared" si="0"/>
        <v>3</v>
      </c>
      <c r="E38" s="1">
        <v>231</v>
      </c>
      <c r="F38" s="1">
        <v>207</v>
      </c>
      <c r="G38" s="19">
        <v>245</v>
      </c>
      <c r="H38" s="13" t="s">
        <v>10</v>
      </c>
      <c r="I38" s="1">
        <v>5</v>
      </c>
      <c r="J38" s="6">
        <v>13.4</v>
      </c>
      <c r="K38" s="1">
        <v>0</v>
      </c>
      <c r="L38" s="29"/>
      <c r="O38" s="3"/>
    </row>
    <row r="39" spans="1:15" x14ac:dyDescent="0.3">
      <c r="A39" s="1" t="s">
        <v>50</v>
      </c>
      <c r="B39" s="1" t="s">
        <v>9</v>
      </c>
      <c r="C39" s="11">
        <v>41134</v>
      </c>
      <c r="D39" s="12">
        <f t="shared" si="0"/>
        <v>3</v>
      </c>
      <c r="E39" s="1">
        <v>220</v>
      </c>
      <c r="F39" s="1">
        <v>201</v>
      </c>
      <c r="G39" s="19">
        <v>211</v>
      </c>
      <c r="H39" s="13" t="s">
        <v>10</v>
      </c>
      <c r="I39" s="1">
        <v>1</v>
      </c>
      <c r="J39" s="6">
        <v>3.2</v>
      </c>
      <c r="K39" s="1">
        <v>0</v>
      </c>
      <c r="L39" s="29"/>
      <c r="O39" s="3"/>
    </row>
    <row r="40" spans="1:15" x14ac:dyDescent="0.3">
      <c r="A40" s="1" t="s">
        <v>51</v>
      </c>
      <c r="B40" s="1" t="s">
        <v>9</v>
      </c>
      <c r="C40" s="11">
        <v>41532</v>
      </c>
      <c r="D40" s="12">
        <f t="shared" si="0"/>
        <v>3</v>
      </c>
      <c r="E40" s="1">
        <v>207</v>
      </c>
      <c r="F40" s="1">
        <v>180</v>
      </c>
      <c r="G40" s="19">
        <v>178</v>
      </c>
      <c r="H40" s="13" t="s">
        <v>10</v>
      </c>
      <c r="I40" s="1">
        <v>4</v>
      </c>
      <c r="J40" s="6">
        <v>7.7</v>
      </c>
      <c r="K40" s="1">
        <v>1</v>
      </c>
      <c r="L40" s="29"/>
      <c r="O40" s="3"/>
    </row>
    <row r="41" spans="1:15" x14ac:dyDescent="0.3">
      <c r="A41" s="1" t="s">
        <v>52</v>
      </c>
      <c r="B41" s="1" t="s">
        <v>9</v>
      </c>
      <c r="C41" s="11">
        <v>41532</v>
      </c>
      <c r="D41" s="12">
        <f t="shared" si="0"/>
        <v>3</v>
      </c>
      <c r="E41" s="1">
        <v>224</v>
      </c>
      <c r="F41" s="1">
        <v>201</v>
      </c>
      <c r="G41" s="19">
        <v>216.2</v>
      </c>
      <c r="H41" s="13" t="s">
        <v>10</v>
      </c>
      <c r="I41" s="1">
        <v>5</v>
      </c>
      <c r="J41" s="6">
        <v>10.1</v>
      </c>
      <c r="K41" s="1">
        <v>0</v>
      </c>
      <c r="L41" s="29"/>
      <c r="O41" s="3"/>
    </row>
    <row r="42" spans="1:15" x14ac:dyDescent="0.3">
      <c r="A42" s="1" t="s">
        <v>53</v>
      </c>
      <c r="B42" s="1" t="s">
        <v>9</v>
      </c>
      <c r="C42" s="11">
        <v>41147</v>
      </c>
      <c r="D42" s="12">
        <f t="shared" si="0"/>
        <v>3</v>
      </c>
      <c r="E42" s="1">
        <v>226</v>
      </c>
      <c r="F42" s="1">
        <v>206</v>
      </c>
      <c r="G42" s="19">
        <v>221</v>
      </c>
      <c r="H42" s="13" t="s">
        <v>10</v>
      </c>
      <c r="I42" s="1">
        <v>5</v>
      </c>
      <c r="J42" s="6">
        <v>11.2</v>
      </c>
      <c r="K42" s="1">
        <v>0</v>
      </c>
      <c r="L42" s="29"/>
      <c r="O42" s="3"/>
    </row>
    <row r="43" spans="1:15" x14ac:dyDescent="0.3">
      <c r="A43" s="1" t="s">
        <v>54</v>
      </c>
      <c r="B43" s="1" t="s">
        <v>9</v>
      </c>
      <c r="C43" s="11">
        <v>41532</v>
      </c>
      <c r="D43" s="12">
        <f t="shared" si="0"/>
        <v>3</v>
      </c>
      <c r="E43" s="1">
        <v>218</v>
      </c>
      <c r="F43" s="1">
        <v>198</v>
      </c>
      <c r="G43" s="19">
        <v>217</v>
      </c>
      <c r="H43" s="13" t="s">
        <v>10</v>
      </c>
      <c r="I43" s="1">
        <v>6</v>
      </c>
      <c r="J43" s="6">
        <v>12.9</v>
      </c>
      <c r="K43" s="1">
        <v>0</v>
      </c>
      <c r="L43" s="29"/>
      <c r="O43" s="3"/>
    </row>
    <row r="44" spans="1:15" x14ac:dyDescent="0.3">
      <c r="A44" s="1" t="s">
        <v>55</v>
      </c>
      <c r="B44" s="1" t="s">
        <v>9</v>
      </c>
      <c r="C44" s="11">
        <v>41147</v>
      </c>
      <c r="D44" s="12">
        <f t="shared" si="0"/>
        <v>3</v>
      </c>
      <c r="E44" s="1">
        <v>220</v>
      </c>
      <c r="F44" s="1">
        <v>195</v>
      </c>
      <c r="G44" s="19">
        <v>187</v>
      </c>
      <c r="H44" s="13" t="s">
        <v>10</v>
      </c>
      <c r="I44" s="1">
        <v>2</v>
      </c>
      <c r="J44" s="6">
        <v>5.5</v>
      </c>
      <c r="K44" s="1">
        <v>0</v>
      </c>
      <c r="L44" s="29"/>
      <c r="O44" s="3"/>
    </row>
    <row r="45" spans="1:15" x14ac:dyDescent="0.3">
      <c r="A45" s="1" t="s">
        <v>56</v>
      </c>
      <c r="B45" s="1" t="s">
        <v>9</v>
      </c>
      <c r="C45" s="11">
        <v>41479</v>
      </c>
      <c r="D45" s="12">
        <f t="shared" si="0"/>
        <v>3</v>
      </c>
      <c r="E45" s="1">
        <v>232</v>
      </c>
      <c r="F45" s="1">
        <v>208</v>
      </c>
      <c r="G45" s="19">
        <v>209.6</v>
      </c>
      <c r="H45" s="13" t="s">
        <v>10</v>
      </c>
      <c r="I45" s="1">
        <v>5</v>
      </c>
      <c r="J45" s="6">
        <v>11.3</v>
      </c>
      <c r="K45" s="1">
        <v>0</v>
      </c>
      <c r="L45" s="29"/>
      <c r="O45" s="3"/>
    </row>
    <row r="46" spans="1:15" x14ac:dyDescent="0.3">
      <c r="A46" s="1" t="s">
        <v>57</v>
      </c>
      <c r="B46" s="1" t="s">
        <v>9</v>
      </c>
      <c r="C46" s="11">
        <v>41479</v>
      </c>
      <c r="D46" s="12">
        <f t="shared" si="0"/>
        <v>3</v>
      </c>
      <c r="E46" s="1">
        <v>234</v>
      </c>
      <c r="F46" s="1">
        <v>218</v>
      </c>
      <c r="G46" s="19">
        <v>227.1</v>
      </c>
      <c r="H46" s="13" t="s">
        <v>10</v>
      </c>
      <c r="I46" s="1">
        <v>4</v>
      </c>
      <c r="J46" s="6">
        <v>9.3000000000000007</v>
      </c>
      <c r="K46" s="1">
        <v>1</v>
      </c>
      <c r="L46" s="29"/>
      <c r="O46" s="3"/>
    </row>
    <row r="47" spans="1:15" x14ac:dyDescent="0.3">
      <c r="A47" s="1" t="s">
        <v>58</v>
      </c>
      <c r="B47" s="1" t="s">
        <v>9</v>
      </c>
      <c r="C47" s="11">
        <v>41479</v>
      </c>
      <c r="D47" s="12">
        <f t="shared" si="0"/>
        <v>3</v>
      </c>
      <c r="E47" s="1">
        <v>241</v>
      </c>
      <c r="F47" s="1">
        <v>224</v>
      </c>
      <c r="G47" s="19">
        <v>287.2</v>
      </c>
      <c r="H47" s="13" t="s">
        <v>28</v>
      </c>
      <c r="I47" s="1">
        <v>4</v>
      </c>
      <c r="J47" s="6">
        <v>20.7</v>
      </c>
      <c r="K47" s="1">
        <v>2</v>
      </c>
      <c r="L47" s="29"/>
      <c r="O47" s="3"/>
    </row>
    <row r="48" spans="1:15" x14ac:dyDescent="0.3">
      <c r="A48" s="1" t="s">
        <v>59</v>
      </c>
      <c r="B48" s="1" t="s">
        <v>9</v>
      </c>
      <c r="C48" s="11">
        <v>41479</v>
      </c>
      <c r="D48" s="12">
        <f t="shared" si="0"/>
        <v>3</v>
      </c>
      <c r="E48" s="1">
        <v>171</v>
      </c>
      <c r="F48" s="1">
        <v>156</v>
      </c>
      <c r="G48" s="19">
        <v>103.2</v>
      </c>
      <c r="H48" s="13" t="s">
        <v>28</v>
      </c>
      <c r="I48" s="1">
        <v>1</v>
      </c>
      <c r="J48" s="6">
        <v>0.1</v>
      </c>
      <c r="K48" s="1">
        <v>1</v>
      </c>
      <c r="L48" s="29"/>
      <c r="O48" s="3"/>
    </row>
    <row r="49" spans="1:15" x14ac:dyDescent="0.3">
      <c r="A49" s="1" t="s">
        <v>60</v>
      </c>
      <c r="B49" s="1" t="s">
        <v>9</v>
      </c>
      <c r="C49" s="11">
        <v>41119</v>
      </c>
      <c r="D49" s="12">
        <f t="shared" si="0"/>
        <v>3</v>
      </c>
      <c r="E49" s="1">
        <v>229</v>
      </c>
      <c r="F49" s="1">
        <v>209</v>
      </c>
      <c r="G49" s="19">
        <v>257.89999999999998</v>
      </c>
      <c r="H49" s="13" t="s">
        <v>10</v>
      </c>
      <c r="I49" s="1">
        <v>5</v>
      </c>
      <c r="J49" s="6">
        <v>10</v>
      </c>
      <c r="K49" s="1">
        <v>0</v>
      </c>
      <c r="L49" s="29"/>
      <c r="O49" s="3"/>
    </row>
    <row r="50" spans="1:15" x14ac:dyDescent="0.3">
      <c r="A50" s="1" t="s">
        <v>61</v>
      </c>
      <c r="B50" s="1" t="s">
        <v>9</v>
      </c>
      <c r="C50" s="11">
        <v>41479</v>
      </c>
      <c r="D50" s="12">
        <f t="shared" si="0"/>
        <v>3</v>
      </c>
      <c r="E50" s="1">
        <v>273</v>
      </c>
      <c r="F50" s="1">
        <v>246</v>
      </c>
      <c r="G50" s="19">
        <v>429.5</v>
      </c>
      <c r="H50" s="13" t="s">
        <v>10</v>
      </c>
      <c r="I50" s="1">
        <v>5</v>
      </c>
      <c r="J50" s="6">
        <v>37.700000000000003</v>
      </c>
      <c r="K50" s="1">
        <v>0</v>
      </c>
      <c r="L50" s="29"/>
      <c r="O50" s="3"/>
    </row>
    <row r="51" spans="1:15" x14ac:dyDescent="0.3">
      <c r="A51" s="1" t="s">
        <v>62</v>
      </c>
      <c r="B51" s="1" t="s">
        <v>9</v>
      </c>
      <c r="C51" s="11">
        <v>41471</v>
      </c>
      <c r="D51" s="12">
        <f t="shared" si="0"/>
        <v>3</v>
      </c>
      <c r="E51" s="1">
        <v>237</v>
      </c>
      <c r="F51" s="1">
        <v>211</v>
      </c>
      <c r="G51" s="19">
        <v>247.1</v>
      </c>
      <c r="H51" s="13" t="s">
        <v>10</v>
      </c>
      <c r="I51" s="1">
        <v>3</v>
      </c>
      <c r="J51" s="6">
        <v>5.5</v>
      </c>
      <c r="K51" s="1">
        <v>1</v>
      </c>
      <c r="L51" s="29"/>
      <c r="O51" s="3"/>
    </row>
    <row r="52" spans="1:15" x14ac:dyDescent="0.3">
      <c r="A52" s="1" t="s">
        <v>63</v>
      </c>
      <c r="B52" s="1" t="s">
        <v>9</v>
      </c>
      <c r="C52" s="11">
        <v>41471</v>
      </c>
      <c r="D52" s="12">
        <f t="shared" si="0"/>
        <v>3</v>
      </c>
      <c r="E52" s="1">
        <v>225</v>
      </c>
      <c r="F52" s="1">
        <v>200</v>
      </c>
      <c r="G52" s="19">
        <v>227</v>
      </c>
      <c r="H52" s="13" t="s">
        <v>28</v>
      </c>
      <c r="I52" s="1">
        <v>4</v>
      </c>
      <c r="J52" s="6">
        <v>4.9000000000000004</v>
      </c>
      <c r="K52" s="1">
        <v>1</v>
      </c>
      <c r="L52" s="29"/>
      <c r="O52" s="3"/>
    </row>
    <row r="53" spans="1:15" x14ac:dyDescent="0.3">
      <c r="A53" s="1" t="s">
        <v>64</v>
      </c>
      <c r="B53" s="1" t="s">
        <v>9</v>
      </c>
      <c r="C53" s="11">
        <v>41471</v>
      </c>
      <c r="D53" s="12">
        <f t="shared" si="0"/>
        <v>3</v>
      </c>
      <c r="E53" s="1">
        <v>210</v>
      </c>
      <c r="F53" s="1">
        <v>189</v>
      </c>
      <c r="G53" s="19">
        <v>200.6</v>
      </c>
      <c r="H53" s="13" t="s">
        <v>28</v>
      </c>
      <c r="I53" s="1">
        <v>3</v>
      </c>
      <c r="J53" s="6">
        <v>2.2000000000000002</v>
      </c>
      <c r="K53" s="1">
        <v>1</v>
      </c>
      <c r="L53" s="29"/>
      <c r="O53" s="3"/>
    </row>
    <row r="54" spans="1:15" x14ac:dyDescent="0.3">
      <c r="A54" s="1" t="s">
        <v>65</v>
      </c>
      <c r="B54" s="1" t="s">
        <v>9</v>
      </c>
      <c r="C54" s="11">
        <v>41471</v>
      </c>
      <c r="D54" s="12">
        <f t="shared" si="0"/>
        <v>3</v>
      </c>
      <c r="E54" s="1">
        <v>264</v>
      </c>
      <c r="F54" s="1">
        <v>238</v>
      </c>
      <c r="G54" s="19">
        <v>363.8</v>
      </c>
      <c r="H54" s="13" t="s">
        <v>28</v>
      </c>
      <c r="I54" s="1">
        <v>6</v>
      </c>
      <c r="J54" s="6">
        <v>38.700000000000003</v>
      </c>
      <c r="K54" s="1">
        <v>1</v>
      </c>
      <c r="L54" s="29"/>
      <c r="O54" s="3"/>
    </row>
    <row r="55" spans="1:15" x14ac:dyDescent="0.3">
      <c r="A55" s="1" t="s">
        <v>66</v>
      </c>
      <c r="B55" s="1" t="s">
        <v>9</v>
      </c>
      <c r="C55" s="11">
        <v>41471</v>
      </c>
      <c r="D55" s="12">
        <f t="shared" si="0"/>
        <v>3</v>
      </c>
      <c r="E55" s="1">
        <v>260</v>
      </c>
      <c r="F55" s="1">
        <v>245</v>
      </c>
      <c r="G55" s="19">
        <v>407.8</v>
      </c>
      <c r="H55" s="13" t="s">
        <v>10</v>
      </c>
      <c r="I55" s="1">
        <v>5</v>
      </c>
      <c r="J55" s="6">
        <v>34</v>
      </c>
      <c r="K55" s="1">
        <v>1</v>
      </c>
      <c r="L55" s="29"/>
      <c r="O55" s="3"/>
    </row>
    <row r="56" spans="1:15" x14ac:dyDescent="0.3">
      <c r="A56" s="1" t="s">
        <v>67</v>
      </c>
      <c r="B56" s="1" t="s">
        <v>9</v>
      </c>
      <c r="C56" s="11">
        <v>41471</v>
      </c>
      <c r="D56" s="12">
        <f t="shared" si="0"/>
        <v>3</v>
      </c>
      <c r="E56" s="1">
        <v>240</v>
      </c>
      <c r="F56" s="1">
        <v>225</v>
      </c>
      <c r="G56" s="19">
        <v>267</v>
      </c>
      <c r="H56" s="13" t="s">
        <v>10</v>
      </c>
      <c r="I56" s="1">
        <v>5</v>
      </c>
      <c r="J56" s="6">
        <v>12</v>
      </c>
      <c r="K56" s="1">
        <v>0</v>
      </c>
      <c r="L56" s="29"/>
      <c r="O56" s="3"/>
    </row>
    <row r="57" spans="1:15" x14ac:dyDescent="0.3">
      <c r="A57" s="1" t="s">
        <v>68</v>
      </c>
      <c r="B57" s="1" t="s">
        <v>9</v>
      </c>
      <c r="C57" s="11">
        <v>41471</v>
      </c>
      <c r="D57" s="12">
        <f t="shared" si="0"/>
        <v>3</v>
      </c>
      <c r="E57" s="1">
        <v>236</v>
      </c>
      <c r="F57" s="1">
        <v>211</v>
      </c>
      <c r="G57" s="19">
        <v>250.4</v>
      </c>
      <c r="H57" s="13" t="s">
        <v>10</v>
      </c>
      <c r="I57" s="1">
        <v>5</v>
      </c>
      <c r="J57" s="6">
        <v>13.3</v>
      </c>
      <c r="K57" s="1">
        <v>1</v>
      </c>
      <c r="L57" s="29"/>
      <c r="O57" s="3"/>
    </row>
    <row r="58" spans="1:15" x14ac:dyDescent="0.3">
      <c r="A58" s="1" t="s">
        <v>69</v>
      </c>
      <c r="B58" s="1" t="s">
        <v>9</v>
      </c>
      <c r="C58" s="11">
        <v>41471</v>
      </c>
      <c r="D58" s="12">
        <f t="shared" si="0"/>
        <v>3</v>
      </c>
      <c r="E58" s="1">
        <v>202</v>
      </c>
      <c r="F58" s="1">
        <v>186</v>
      </c>
      <c r="G58" s="19">
        <v>190.1</v>
      </c>
      <c r="H58" s="13" t="s">
        <v>28</v>
      </c>
      <c r="I58" s="1">
        <v>4</v>
      </c>
      <c r="J58" s="6">
        <v>7.6</v>
      </c>
      <c r="K58" s="1">
        <v>1</v>
      </c>
      <c r="L58" s="29"/>
      <c r="O58" s="3"/>
    </row>
    <row r="59" spans="1:15" x14ac:dyDescent="0.3">
      <c r="A59" s="1" t="s">
        <v>70</v>
      </c>
      <c r="B59" s="1" t="s">
        <v>9</v>
      </c>
      <c r="C59" s="11">
        <v>41456</v>
      </c>
      <c r="D59" s="12">
        <f t="shared" si="0"/>
        <v>3</v>
      </c>
      <c r="E59" s="1">
        <v>209</v>
      </c>
      <c r="F59" s="1">
        <v>195</v>
      </c>
      <c r="G59" s="19">
        <v>188.4</v>
      </c>
      <c r="H59" s="13" t="s">
        <v>10</v>
      </c>
      <c r="I59" s="1">
        <v>4</v>
      </c>
      <c r="J59" s="6">
        <v>2.6</v>
      </c>
      <c r="K59" s="1">
        <v>2</v>
      </c>
      <c r="L59" s="29"/>
      <c r="O59" s="3"/>
    </row>
    <row r="60" spans="1:15" x14ac:dyDescent="0.3">
      <c r="A60" s="1" t="s">
        <v>71</v>
      </c>
      <c r="B60" s="1" t="s">
        <v>9</v>
      </c>
      <c r="C60" s="11">
        <v>41456</v>
      </c>
      <c r="D60" s="12">
        <f t="shared" si="0"/>
        <v>3</v>
      </c>
      <c r="E60" s="1">
        <v>232</v>
      </c>
      <c r="F60" s="1">
        <v>210</v>
      </c>
      <c r="G60" s="19">
        <v>225.4</v>
      </c>
      <c r="H60" s="13" t="s">
        <v>10</v>
      </c>
      <c r="I60" s="1">
        <v>4</v>
      </c>
      <c r="J60" s="6">
        <v>8.3000000000000007</v>
      </c>
      <c r="K60" s="1">
        <v>2</v>
      </c>
      <c r="L60" s="29"/>
      <c r="O60" s="3"/>
    </row>
    <row r="61" spans="1:15" x14ac:dyDescent="0.3">
      <c r="A61" s="1" t="s">
        <v>72</v>
      </c>
      <c r="B61" s="1" t="s">
        <v>9</v>
      </c>
      <c r="C61" s="11">
        <v>41456</v>
      </c>
      <c r="D61" s="12">
        <f t="shared" si="0"/>
        <v>3</v>
      </c>
      <c r="E61" s="1">
        <v>189</v>
      </c>
      <c r="F61" s="1">
        <v>166</v>
      </c>
      <c r="G61" s="19">
        <v>150.19999999999999</v>
      </c>
      <c r="H61" s="13" t="s">
        <v>10</v>
      </c>
      <c r="I61" s="1">
        <v>3</v>
      </c>
      <c r="J61" s="6">
        <v>3.2</v>
      </c>
      <c r="K61" s="1">
        <v>1</v>
      </c>
      <c r="L61" s="29"/>
      <c r="O61" s="3"/>
    </row>
    <row r="62" spans="1:15" x14ac:dyDescent="0.3">
      <c r="A62" s="1" t="s">
        <v>73</v>
      </c>
      <c r="B62" s="1" t="s">
        <v>9</v>
      </c>
      <c r="C62" s="11">
        <v>41423</v>
      </c>
      <c r="D62" s="12">
        <f t="shared" si="0"/>
        <v>2</v>
      </c>
      <c r="E62" s="1">
        <v>248</v>
      </c>
      <c r="F62" s="1">
        <v>238</v>
      </c>
      <c r="G62" s="19">
        <v>401.5</v>
      </c>
      <c r="H62" s="13" t="s">
        <v>10</v>
      </c>
      <c r="I62" s="1">
        <v>5</v>
      </c>
      <c r="J62" s="6">
        <v>23.4</v>
      </c>
      <c r="K62" s="1">
        <v>1</v>
      </c>
      <c r="L62" s="29"/>
      <c r="O62" s="3"/>
    </row>
    <row r="63" spans="1:15" x14ac:dyDescent="0.3">
      <c r="A63" s="1" t="s">
        <v>74</v>
      </c>
      <c r="B63" s="1" t="s">
        <v>9</v>
      </c>
      <c r="C63" s="11">
        <v>41423</v>
      </c>
      <c r="D63" s="12">
        <f t="shared" si="0"/>
        <v>2</v>
      </c>
      <c r="E63" s="1">
        <v>225</v>
      </c>
      <c r="F63" s="1">
        <v>205</v>
      </c>
      <c r="G63" s="19">
        <v>255</v>
      </c>
      <c r="H63" s="13" t="s">
        <v>10</v>
      </c>
      <c r="I63" s="1">
        <v>4</v>
      </c>
      <c r="J63" s="6">
        <v>10.9</v>
      </c>
      <c r="K63" s="1">
        <v>1</v>
      </c>
      <c r="L63" s="29"/>
      <c r="O63" s="3"/>
    </row>
    <row r="64" spans="1:15" x14ac:dyDescent="0.3">
      <c r="A64" s="1" t="s">
        <v>75</v>
      </c>
      <c r="B64" s="1" t="s">
        <v>9</v>
      </c>
      <c r="C64" s="11">
        <v>41423</v>
      </c>
      <c r="D64" s="12">
        <f t="shared" si="0"/>
        <v>2</v>
      </c>
      <c r="E64" s="1">
        <v>285</v>
      </c>
      <c r="F64" s="1">
        <v>250</v>
      </c>
      <c r="G64" s="19">
        <v>502.4</v>
      </c>
      <c r="H64" s="13" t="s">
        <v>10</v>
      </c>
      <c r="I64" s="1">
        <v>5</v>
      </c>
      <c r="J64" s="6">
        <v>31.1</v>
      </c>
      <c r="K64" s="1">
        <v>2</v>
      </c>
      <c r="L64" s="29"/>
      <c r="O64" s="3"/>
    </row>
    <row r="65" spans="1:15" x14ac:dyDescent="0.3">
      <c r="A65" s="1" t="s">
        <v>76</v>
      </c>
      <c r="B65" s="1" t="s">
        <v>9</v>
      </c>
      <c r="C65" s="11">
        <v>41413</v>
      </c>
      <c r="D65" s="12">
        <f t="shared" si="0"/>
        <v>2</v>
      </c>
      <c r="E65" s="1">
        <v>216</v>
      </c>
      <c r="F65" s="1">
        <v>195</v>
      </c>
      <c r="G65" s="19">
        <v>190.9</v>
      </c>
      <c r="H65" s="13" t="s">
        <v>28</v>
      </c>
      <c r="I65" s="1">
        <v>5</v>
      </c>
      <c r="J65" s="6">
        <v>13.8</v>
      </c>
      <c r="K65" s="1">
        <v>0</v>
      </c>
      <c r="L65" s="29"/>
      <c r="O65" s="3"/>
    </row>
    <row r="66" spans="1:15" x14ac:dyDescent="0.3">
      <c r="A66" s="1" t="s">
        <v>77</v>
      </c>
      <c r="B66" s="1" t="s">
        <v>9</v>
      </c>
      <c r="C66" s="11">
        <v>41423</v>
      </c>
      <c r="D66" s="12">
        <f t="shared" ref="D66:D129" si="1">ROUNDUP(MONTH(C66)/3,0)</f>
        <v>2</v>
      </c>
      <c r="E66" s="1">
        <v>220</v>
      </c>
      <c r="F66" s="1">
        <v>200</v>
      </c>
      <c r="G66" s="19">
        <v>234</v>
      </c>
      <c r="H66" s="13" t="s">
        <v>10</v>
      </c>
      <c r="I66" s="1">
        <v>5</v>
      </c>
      <c r="J66" s="6">
        <v>12.6</v>
      </c>
      <c r="K66" s="1">
        <v>1</v>
      </c>
      <c r="L66" s="29"/>
      <c r="O66" s="3"/>
    </row>
    <row r="67" spans="1:15" x14ac:dyDescent="0.3">
      <c r="A67" s="1" t="s">
        <v>78</v>
      </c>
      <c r="B67" s="1" t="s">
        <v>9</v>
      </c>
      <c r="C67" s="11">
        <v>41423</v>
      </c>
      <c r="D67" s="12">
        <f t="shared" si="1"/>
        <v>2</v>
      </c>
      <c r="E67" s="1">
        <v>231</v>
      </c>
      <c r="F67" s="1">
        <v>215</v>
      </c>
      <c r="G67" s="19">
        <v>248.9</v>
      </c>
      <c r="H67" s="13" t="s">
        <v>28</v>
      </c>
      <c r="I67" s="1">
        <v>5</v>
      </c>
      <c r="J67" s="6">
        <v>23.4</v>
      </c>
      <c r="K67" s="1">
        <v>1</v>
      </c>
      <c r="L67" s="29"/>
      <c r="O67" s="3"/>
    </row>
    <row r="68" spans="1:15" x14ac:dyDescent="0.3">
      <c r="A68" s="1" t="s">
        <v>79</v>
      </c>
      <c r="B68" s="1" t="s">
        <v>9</v>
      </c>
      <c r="C68" s="11">
        <v>41530</v>
      </c>
      <c r="D68" s="12">
        <f t="shared" si="1"/>
        <v>3</v>
      </c>
      <c r="E68" s="1">
        <v>252</v>
      </c>
      <c r="F68" s="1">
        <v>235</v>
      </c>
      <c r="G68" s="19">
        <v>339</v>
      </c>
      <c r="H68" s="13" t="s">
        <v>28</v>
      </c>
      <c r="I68" s="1">
        <v>4</v>
      </c>
      <c r="J68" s="6">
        <v>12.2</v>
      </c>
      <c r="K68" s="1">
        <v>1</v>
      </c>
      <c r="L68" s="29"/>
      <c r="O68" s="3"/>
    </row>
    <row r="69" spans="1:15" x14ac:dyDescent="0.3">
      <c r="A69" s="1" t="s">
        <v>80</v>
      </c>
      <c r="B69" s="1" t="s">
        <v>9</v>
      </c>
      <c r="C69" s="11">
        <v>41530</v>
      </c>
      <c r="D69" s="12">
        <f t="shared" si="1"/>
        <v>3</v>
      </c>
      <c r="E69" s="1">
        <v>225</v>
      </c>
      <c r="F69" s="1">
        <v>215</v>
      </c>
      <c r="G69" s="19">
        <v>239</v>
      </c>
      <c r="H69" s="13" t="s">
        <v>10</v>
      </c>
      <c r="I69" s="1">
        <v>4</v>
      </c>
      <c r="J69" s="6">
        <v>18.2</v>
      </c>
      <c r="K69" s="1">
        <v>1</v>
      </c>
      <c r="L69" s="29"/>
      <c r="O69" s="3"/>
    </row>
    <row r="70" spans="1:15" x14ac:dyDescent="0.3">
      <c r="A70" s="1" t="s">
        <v>81</v>
      </c>
      <c r="B70" s="1" t="s">
        <v>9</v>
      </c>
      <c r="C70" s="11">
        <v>41512</v>
      </c>
      <c r="D70" s="12">
        <f t="shared" si="1"/>
        <v>3</v>
      </c>
      <c r="E70" s="1">
        <v>219</v>
      </c>
      <c r="F70" s="1">
        <v>200</v>
      </c>
      <c r="G70" s="19">
        <v>196</v>
      </c>
      <c r="H70" s="13" t="s">
        <v>10</v>
      </c>
      <c r="I70" s="1">
        <v>5</v>
      </c>
      <c r="J70" s="6">
        <v>7.5</v>
      </c>
      <c r="K70" s="1">
        <v>0</v>
      </c>
      <c r="L70" s="29"/>
      <c r="O70" s="3"/>
    </row>
    <row r="71" spans="1:15" x14ac:dyDescent="0.3">
      <c r="A71" s="1" t="s">
        <v>82</v>
      </c>
      <c r="B71" s="1" t="s">
        <v>9</v>
      </c>
      <c r="C71" s="11">
        <v>41512</v>
      </c>
      <c r="D71" s="12">
        <f t="shared" si="1"/>
        <v>3</v>
      </c>
      <c r="E71" s="1">
        <v>282</v>
      </c>
      <c r="F71" s="1">
        <v>258</v>
      </c>
      <c r="G71" s="19">
        <v>394</v>
      </c>
      <c r="H71" s="13" t="s">
        <v>10</v>
      </c>
      <c r="I71" s="1">
        <v>6</v>
      </c>
      <c r="J71" s="6">
        <v>18.399999999999999</v>
      </c>
      <c r="K71" s="1">
        <v>1</v>
      </c>
      <c r="L71" s="29"/>
      <c r="O71" s="3"/>
    </row>
    <row r="72" spans="1:15" x14ac:dyDescent="0.3">
      <c r="A72" s="1" t="s">
        <v>83</v>
      </c>
      <c r="B72" s="1" t="s">
        <v>9</v>
      </c>
      <c r="C72" s="11">
        <v>41512</v>
      </c>
      <c r="D72" s="12">
        <f t="shared" si="1"/>
        <v>3</v>
      </c>
      <c r="E72" s="1">
        <v>235</v>
      </c>
      <c r="F72" s="1">
        <v>210</v>
      </c>
      <c r="G72" s="19">
        <v>287</v>
      </c>
      <c r="H72" s="13" t="s">
        <v>10</v>
      </c>
      <c r="I72" s="1">
        <v>6</v>
      </c>
      <c r="J72" s="6">
        <v>11.1</v>
      </c>
      <c r="K72" s="1">
        <v>0</v>
      </c>
      <c r="L72" s="29"/>
      <c r="O72" s="3"/>
    </row>
    <row r="73" spans="1:15" x14ac:dyDescent="0.3">
      <c r="A73" s="1" t="s">
        <v>84</v>
      </c>
      <c r="B73" s="1" t="s">
        <v>9</v>
      </c>
      <c r="C73" s="11">
        <v>41512</v>
      </c>
      <c r="D73" s="12">
        <f t="shared" si="1"/>
        <v>3</v>
      </c>
      <c r="E73" s="1">
        <v>245</v>
      </c>
      <c r="F73" s="1">
        <v>223</v>
      </c>
      <c r="G73" s="19">
        <v>270.89999999999998</v>
      </c>
      <c r="H73" s="13" t="s">
        <v>10</v>
      </c>
      <c r="I73" s="1">
        <v>5</v>
      </c>
      <c r="J73" s="6">
        <v>17.5</v>
      </c>
      <c r="K73" s="1">
        <v>0</v>
      </c>
      <c r="L73" s="29"/>
      <c r="O73" s="3"/>
    </row>
    <row r="74" spans="1:15" x14ac:dyDescent="0.3">
      <c r="A74" s="1" t="s">
        <v>85</v>
      </c>
      <c r="B74" s="1" t="s">
        <v>9</v>
      </c>
      <c r="C74" s="11">
        <v>41530</v>
      </c>
      <c r="D74" s="12">
        <f t="shared" si="1"/>
        <v>3</v>
      </c>
      <c r="E74" s="1">
        <v>256</v>
      </c>
      <c r="F74" s="1">
        <v>235</v>
      </c>
      <c r="G74" s="19">
        <v>319</v>
      </c>
      <c r="H74" s="13" t="s">
        <v>28</v>
      </c>
      <c r="I74" s="1">
        <v>4</v>
      </c>
      <c r="J74" s="6">
        <v>9.3000000000000007</v>
      </c>
      <c r="K74" s="1">
        <v>0</v>
      </c>
      <c r="L74" s="29"/>
      <c r="O74" s="3"/>
    </row>
    <row r="75" spans="1:15" x14ac:dyDescent="0.3">
      <c r="A75" s="1" t="s">
        <v>86</v>
      </c>
      <c r="B75" s="1" t="s">
        <v>9</v>
      </c>
      <c r="C75" s="11">
        <v>41530</v>
      </c>
      <c r="D75" s="12">
        <f t="shared" si="1"/>
        <v>3</v>
      </c>
      <c r="E75" s="1">
        <v>251</v>
      </c>
      <c r="F75" s="1">
        <v>232</v>
      </c>
      <c r="G75" s="19">
        <v>312</v>
      </c>
      <c r="H75" s="13" t="s">
        <v>10</v>
      </c>
      <c r="I75" s="1">
        <v>4</v>
      </c>
      <c r="J75" s="6">
        <v>12.1</v>
      </c>
      <c r="K75" s="1">
        <v>0</v>
      </c>
      <c r="L75" s="29"/>
      <c r="O75" s="3"/>
    </row>
    <row r="76" spans="1:15" x14ac:dyDescent="0.3">
      <c r="A76" s="1" t="s">
        <v>87</v>
      </c>
      <c r="B76" s="1" t="s">
        <v>9</v>
      </c>
      <c r="C76" s="11">
        <v>41512</v>
      </c>
      <c r="D76" s="12">
        <f t="shared" si="1"/>
        <v>3</v>
      </c>
      <c r="E76" s="1">
        <v>256</v>
      </c>
      <c r="F76" s="1">
        <v>229</v>
      </c>
      <c r="G76" s="19">
        <v>333.8</v>
      </c>
      <c r="H76" s="13" t="s">
        <v>10</v>
      </c>
      <c r="I76" s="1">
        <v>5</v>
      </c>
      <c r="J76" s="6">
        <v>11.8</v>
      </c>
      <c r="K76" s="1">
        <v>0</v>
      </c>
      <c r="L76" s="29"/>
      <c r="O76" s="3"/>
    </row>
    <row r="77" spans="1:15" x14ac:dyDescent="0.3">
      <c r="A77" s="1" t="s">
        <v>88</v>
      </c>
      <c r="B77" s="1" t="s">
        <v>9</v>
      </c>
      <c r="C77" s="11">
        <v>41512</v>
      </c>
      <c r="D77" s="12">
        <f t="shared" si="1"/>
        <v>3</v>
      </c>
      <c r="E77" s="1">
        <v>271</v>
      </c>
      <c r="F77" s="1">
        <v>246</v>
      </c>
      <c r="G77" s="19">
        <v>410.4</v>
      </c>
      <c r="H77" s="13" t="s">
        <v>28</v>
      </c>
      <c r="I77" s="1">
        <v>4</v>
      </c>
      <c r="J77" s="6">
        <v>16.3</v>
      </c>
      <c r="K77" s="1">
        <v>0</v>
      </c>
      <c r="L77" s="29"/>
      <c r="O77" s="3"/>
    </row>
    <row r="78" spans="1:15" x14ac:dyDescent="0.3">
      <c r="A78" s="1" t="s">
        <v>89</v>
      </c>
      <c r="B78" s="1" t="s">
        <v>9</v>
      </c>
      <c r="C78" s="11">
        <v>41512</v>
      </c>
      <c r="D78" s="12">
        <f t="shared" si="1"/>
        <v>3</v>
      </c>
      <c r="E78" s="1">
        <v>253</v>
      </c>
      <c r="F78" s="1">
        <v>232</v>
      </c>
      <c r="G78" s="19">
        <v>311</v>
      </c>
      <c r="H78" s="13" t="s">
        <v>10</v>
      </c>
      <c r="I78" s="1">
        <v>4</v>
      </c>
      <c r="J78" s="6">
        <v>18.100000000000001</v>
      </c>
      <c r="K78" s="1">
        <v>0</v>
      </c>
      <c r="L78" s="29"/>
      <c r="O78" s="3"/>
    </row>
    <row r="79" spans="1:15" x14ac:dyDescent="0.3">
      <c r="A79" s="1" t="s">
        <v>90</v>
      </c>
      <c r="B79" s="1" t="s">
        <v>9</v>
      </c>
      <c r="C79" s="11">
        <v>41512</v>
      </c>
      <c r="D79" s="12">
        <f t="shared" si="1"/>
        <v>3</v>
      </c>
      <c r="E79" s="1">
        <v>265</v>
      </c>
      <c r="F79" s="1">
        <v>240</v>
      </c>
      <c r="G79" s="19">
        <v>367</v>
      </c>
      <c r="H79" s="13" t="s">
        <v>10</v>
      </c>
      <c r="I79" s="1">
        <v>3</v>
      </c>
      <c r="J79" s="6">
        <v>5</v>
      </c>
      <c r="K79" s="1">
        <v>0</v>
      </c>
      <c r="L79" s="29"/>
      <c r="O79" s="3"/>
    </row>
    <row r="80" spans="1:15" x14ac:dyDescent="0.3">
      <c r="A80" s="1" t="s">
        <v>91</v>
      </c>
      <c r="B80" s="1" t="s">
        <v>9</v>
      </c>
      <c r="C80" s="11">
        <v>41512</v>
      </c>
      <c r="D80" s="12">
        <f t="shared" si="1"/>
        <v>3</v>
      </c>
      <c r="E80" s="1">
        <v>262</v>
      </c>
      <c r="F80" s="1">
        <v>234</v>
      </c>
      <c r="G80" s="19">
        <v>334</v>
      </c>
      <c r="H80" s="13" t="s">
        <v>10</v>
      </c>
      <c r="I80" s="1">
        <v>6</v>
      </c>
      <c r="J80" s="6">
        <v>24.9</v>
      </c>
      <c r="K80" s="1">
        <v>0</v>
      </c>
      <c r="L80" s="29"/>
      <c r="O80" s="3"/>
    </row>
    <row r="81" spans="1:15" x14ac:dyDescent="0.3">
      <c r="A81" s="1" t="s">
        <v>92</v>
      </c>
      <c r="B81" s="1" t="s">
        <v>9</v>
      </c>
      <c r="C81" s="11">
        <v>41512</v>
      </c>
      <c r="D81" s="12">
        <f t="shared" si="1"/>
        <v>3</v>
      </c>
      <c r="E81" s="1">
        <v>251</v>
      </c>
      <c r="F81" s="1">
        <v>225</v>
      </c>
      <c r="G81" s="19">
        <v>284</v>
      </c>
      <c r="H81" s="13" t="s">
        <v>28</v>
      </c>
      <c r="I81" s="1">
        <v>3</v>
      </c>
      <c r="J81" s="6">
        <v>14.6</v>
      </c>
      <c r="K81" s="1">
        <v>0</v>
      </c>
      <c r="L81" s="29"/>
      <c r="O81" s="3"/>
    </row>
    <row r="82" spans="1:15" x14ac:dyDescent="0.3">
      <c r="A82" s="1" t="s">
        <v>93</v>
      </c>
      <c r="B82" s="1" t="s">
        <v>9</v>
      </c>
      <c r="C82" s="11">
        <v>41512</v>
      </c>
      <c r="D82" s="12">
        <f t="shared" si="1"/>
        <v>3</v>
      </c>
      <c r="E82" s="1">
        <v>220</v>
      </c>
      <c r="F82" s="1">
        <v>201</v>
      </c>
      <c r="G82" s="19">
        <v>211</v>
      </c>
      <c r="H82" s="13" t="s">
        <v>10</v>
      </c>
      <c r="I82" s="1">
        <v>5</v>
      </c>
      <c r="J82" s="6">
        <v>8.1</v>
      </c>
      <c r="K82" s="1">
        <v>0</v>
      </c>
      <c r="L82" s="29"/>
      <c r="O82" s="3"/>
    </row>
    <row r="83" spans="1:15" x14ac:dyDescent="0.3">
      <c r="A83" s="1" t="s">
        <v>94</v>
      </c>
      <c r="B83" s="1" t="s">
        <v>9</v>
      </c>
      <c r="C83" s="11">
        <v>41512</v>
      </c>
      <c r="D83" s="12">
        <f t="shared" si="1"/>
        <v>3</v>
      </c>
      <c r="E83" s="1">
        <v>290</v>
      </c>
      <c r="F83" s="1">
        <v>266</v>
      </c>
      <c r="G83" s="19">
        <v>489</v>
      </c>
      <c r="H83" s="13" t="s">
        <v>28</v>
      </c>
      <c r="I83" s="1">
        <v>4</v>
      </c>
      <c r="J83" s="6">
        <v>31.9</v>
      </c>
      <c r="K83" s="1">
        <v>2</v>
      </c>
      <c r="L83" s="29"/>
      <c r="O83" s="3"/>
    </row>
    <row r="84" spans="1:15" x14ac:dyDescent="0.3">
      <c r="A84" s="1" t="s">
        <v>95</v>
      </c>
      <c r="B84" s="1" t="s">
        <v>9</v>
      </c>
      <c r="C84" s="11">
        <v>41512</v>
      </c>
      <c r="D84" s="12">
        <f t="shared" si="1"/>
        <v>3</v>
      </c>
      <c r="E84" s="1">
        <v>253</v>
      </c>
      <c r="F84" s="1">
        <v>230</v>
      </c>
      <c r="G84" s="19">
        <v>284.10000000000002</v>
      </c>
      <c r="H84" s="13" t="s">
        <v>28</v>
      </c>
      <c r="I84" s="1">
        <v>3</v>
      </c>
      <c r="J84" s="6">
        <v>17.2</v>
      </c>
      <c r="K84" s="1">
        <v>0</v>
      </c>
      <c r="L84" s="29"/>
      <c r="O84" s="3"/>
    </row>
    <row r="85" spans="1:15" x14ac:dyDescent="0.3">
      <c r="A85" s="1" t="s">
        <v>96</v>
      </c>
      <c r="B85" s="1" t="s">
        <v>9</v>
      </c>
      <c r="C85" s="11">
        <v>41512</v>
      </c>
      <c r="D85" s="12">
        <f t="shared" si="1"/>
        <v>3</v>
      </c>
      <c r="E85" s="1">
        <v>239</v>
      </c>
      <c r="F85" s="1">
        <v>214</v>
      </c>
      <c r="G85" s="19">
        <v>246.7</v>
      </c>
      <c r="H85" s="13" t="s">
        <v>10</v>
      </c>
      <c r="I85" s="1">
        <v>3</v>
      </c>
      <c r="J85" s="6">
        <v>9.3000000000000007</v>
      </c>
      <c r="K85" s="1">
        <v>0</v>
      </c>
      <c r="L85" s="29"/>
      <c r="O85" s="3"/>
    </row>
    <row r="86" spans="1:15" x14ac:dyDescent="0.3">
      <c r="A86" s="1" t="s">
        <v>97</v>
      </c>
      <c r="B86" s="1" t="s">
        <v>9</v>
      </c>
      <c r="C86" s="11">
        <v>41512</v>
      </c>
      <c r="D86" s="12">
        <f t="shared" si="1"/>
        <v>3</v>
      </c>
      <c r="E86" s="1">
        <v>265</v>
      </c>
      <c r="F86" s="1">
        <v>240</v>
      </c>
      <c r="G86" s="19">
        <v>352</v>
      </c>
      <c r="H86" s="13" t="s">
        <v>28</v>
      </c>
      <c r="I86" s="1">
        <v>4</v>
      </c>
      <c r="J86" s="6">
        <v>19.600000000000001</v>
      </c>
      <c r="K86" s="1">
        <v>1</v>
      </c>
      <c r="L86" s="29"/>
      <c r="O86" s="3"/>
    </row>
    <row r="87" spans="1:15" x14ac:dyDescent="0.3">
      <c r="A87" s="1" t="s">
        <v>98</v>
      </c>
      <c r="B87" s="1" t="s">
        <v>9</v>
      </c>
      <c r="C87" s="11">
        <v>41512</v>
      </c>
      <c r="D87" s="12">
        <f t="shared" si="1"/>
        <v>3</v>
      </c>
      <c r="E87" s="1">
        <v>250</v>
      </c>
      <c r="F87" s="1">
        <v>228</v>
      </c>
      <c r="G87" s="19">
        <v>313</v>
      </c>
      <c r="H87" s="13" t="s">
        <v>10</v>
      </c>
      <c r="I87" s="1">
        <v>3</v>
      </c>
      <c r="J87" s="6">
        <v>8.9</v>
      </c>
      <c r="K87" s="1">
        <v>1</v>
      </c>
      <c r="L87" s="29"/>
      <c r="O87" s="3"/>
    </row>
    <row r="88" spans="1:15" x14ac:dyDescent="0.3">
      <c r="A88" s="1" t="s">
        <v>99</v>
      </c>
      <c r="B88" s="1" t="s">
        <v>9</v>
      </c>
      <c r="C88" s="11">
        <v>41530</v>
      </c>
      <c r="D88" s="12">
        <f t="shared" si="1"/>
        <v>3</v>
      </c>
      <c r="E88" s="1">
        <v>237</v>
      </c>
      <c r="F88" s="1">
        <v>203</v>
      </c>
      <c r="G88" s="19">
        <v>279.5</v>
      </c>
      <c r="H88" s="13" t="s">
        <v>10</v>
      </c>
      <c r="I88" s="1">
        <v>5</v>
      </c>
      <c r="J88" s="6">
        <v>16</v>
      </c>
      <c r="K88" s="1">
        <v>0</v>
      </c>
      <c r="L88" s="29"/>
      <c r="O88" s="3"/>
    </row>
    <row r="89" spans="1:15" x14ac:dyDescent="0.3">
      <c r="A89" s="1" t="s">
        <v>100</v>
      </c>
      <c r="B89" s="1" t="s">
        <v>9</v>
      </c>
      <c r="C89" s="11">
        <v>41530</v>
      </c>
      <c r="D89" s="12">
        <f t="shared" si="1"/>
        <v>3</v>
      </c>
      <c r="E89" s="1">
        <v>272</v>
      </c>
      <c r="F89" s="1">
        <v>229</v>
      </c>
      <c r="G89" s="19">
        <v>393.4</v>
      </c>
      <c r="H89" s="13" t="s">
        <v>10</v>
      </c>
      <c r="I89" s="1">
        <v>5</v>
      </c>
      <c r="J89" s="6">
        <v>25.4</v>
      </c>
      <c r="K89" s="1">
        <v>0</v>
      </c>
      <c r="L89" s="29"/>
      <c r="O89" s="3"/>
    </row>
    <row r="90" spans="1:15" x14ac:dyDescent="0.3">
      <c r="A90" s="1" t="s">
        <v>101</v>
      </c>
      <c r="B90" s="1" t="s">
        <v>9</v>
      </c>
      <c r="C90" s="11">
        <v>42260</v>
      </c>
      <c r="D90" s="12">
        <f t="shared" si="1"/>
        <v>3</v>
      </c>
      <c r="E90" s="1">
        <v>225</v>
      </c>
      <c r="F90" s="1">
        <v>207</v>
      </c>
      <c r="G90" s="19">
        <v>227.8</v>
      </c>
      <c r="H90" s="13" t="s">
        <v>28</v>
      </c>
      <c r="I90" s="1">
        <v>4</v>
      </c>
      <c r="J90" s="6">
        <v>11.8</v>
      </c>
      <c r="K90" s="1">
        <v>0</v>
      </c>
      <c r="L90" s="29"/>
      <c r="O90" s="3"/>
    </row>
    <row r="91" spans="1:15" x14ac:dyDescent="0.3">
      <c r="A91" s="1" t="s">
        <v>102</v>
      </c>
      <c r="B91" s="1" t="s">
        <v>9</v>
      </c>
      <c r="C91" s="11">
        <v>42260</v>
      </c>
      <c r="D91" s="12">
        <f t="shared" si="1"/>
        <v>3</v>
      </c>
      <c r="E91" s="1">
        <v>269</v>
      </c>
      <c r="F91" s="1">
        <v>245</v>
      </c>
      <c r="G91" s="19">
        <v>360.9</v>
      </c>
      <c r="H91" s="13" t="s">
        <v>28</v>
      </c>
      <c r="I91" s="1">
        <v>3</v>
      </c>
      <c r="J91" s="6">
        <v>3.3</v>
      </c>
      <c r="K91" s="1">
        <v>1</v>
      </c>
      <c r="L91" s="29"/>
      <c r="O91" s="3"/>
    </row>
    <row r="92" spans="1:15" x14ac:dyDescent="0.3">
      <c r="A92" s="1" t="s">
        <v>103</v>
      </c>
      <c r="B92" s="1" t="s">
        <v>9</v>
      </c>
      <c r="C92" s="11">
        <v>41512</v>
      </c>
      <c r="D92" s="12">
        <f t="shared" si="1"/>
        <v>3</v>
      </c>
      <c r="E92" s="1">
        <v>246</v>
      </c>
      <c r="F92" s="1">
        <v>229</v>
      </c>
      <c r="G92" s="19">
        <v>284.89999999999998</v>
      </c>
      <c r="H92" s="13" t="s">
        <v>28</v>
      </c>
      <c r="I92" s="1">
        <v>3</v>
      </c>
      <c r="J92" s="6">
        <v>14.8</v>
      </c>
      <c r="K92" s="1">
        <v>0</v>
      </c>
      <c r="L92" s="29"/>
      <c r="O92" s="3"/>
    </row>
    <row r="93" spans="1:15" x14ac:dyDescent="0.3">
      <c r="A93" s="1" t="s">
        <v>104</v>
      </c>
      <c r="B93" s="1" t="s">
        <v>9</v>
      </c>
      <c r="C93" s="11">
        <v>41512</v>
      </c>
      <c r="D93" s="12">
        <f t="shared" si="1"/>
        <v>3</v>
      </c>
      <c r="E93" s="1">
        <v>275</v>
      </c>
      <c r="F93" s="1">
        <v>243</v>
      </c>
      <c r="G93" s="19">
        <v>415.8</v>
      </c>
      <c r="H93" s="13" t="s">
        <v>10</v>
      </c>
      <c r="I93" s="1">
        <v>6</v>
      </c>
      <c r="J93" s="6">
        <v>23.1</v>
      </c>
      <c r="K93" s="1">
        <v>1</v>
      </c>
      <c r="L93" s="29"/>
      <c r="O93" s="3"/>
    </row>
    <row r="94" spans="1:15" x14ac:dyDescent="0.3">
      <c r="A94" s="1" t="s">
        <v>105</v>
      </c>
      <c r="B94" s="1" t="s">
        <v>9</v>
      </c>
      <c r="C94" s="11">
        <v>41512</v>
      </c>
      <c r="D94" s="12">
        <f t="shared" si="1"/>
        <v>3</v>
      </c>
      <c r="E94" s="1">
        <v>260</v>
      </c>
      <c r="F94" s="1">
        <v>239</v>
      </c>
      <c r="G94" s="19">
        <v>346.6</v>
      </c>
      <c r="H94" s="13" t="s">
        <v>28</v>
      </c>
      <c r="I94" s="1">
        <v>5</v>
      </c>
      <c r="J94" s="6">
        <v>17.399999999999999</v>
      </c>
      <c r="K94" s="1">
        <v>0</v>
      </c>
      <c r="L94" s="29"/>
      <c r="O94" s="3"/>
    </row>
    <row r="95" spans="1:15" x14ac:dyDescent="0.3">
      <c r="A95" s="1" t="s">
        <v>106</v>
      </c>
      <c r="B95" s="1" t="s">
        <v>9</v>
      </c>
      <c r="C95" s="11">
        <v>41512</v>
      </c>
      <c r="D95" s="12">
        <f t="shared" si="1"/>
        <v>3</v>
      </c>
      <c r="E95" s="1">
        <v>275</v>
      </c>
      <c r="F95" s="1">
        <v>252</v>
      </c>
      <c r="G95" s="19">
        <v>407.2</v>
      </c>
      <c r="H95" s="13" t="s">
        <v>28</v>
      </c>
      <c r="I95" s="1">
        <v>3</v>
      </c>
      <c r="J95" s="6">
        <v>30.1</v>
      </c>
      <c r="K95" s="1">
        <v>0</v>
      </c>
      <c r="L95" s="29"/>
      <c r="O95" s="3"/>
    </row>
    <row r="96" spans="1:15" x14ac:dyDescent="0.3">
      <c r="A96" s="1" t="s">
        <v>107</v>
      </c>
      <c r="B96" s="1" t="s">
        <v>9</v>
      </c>
      <c r="C96" s="11">
        <v>41512</v>
      </c>
      <c r="D96" s="12">
        <f t="shared" si="1"/>
        <v>3</v>
      </c>
      <c r="E96" s="1">
        <v>242</v>
      </c>
      <c r="F96" s="1">
        <v>220</v>
      </c>
      <c r="G96" s="19">
        <v>236</v>
      </c>
      <c r="H96" s="13" t="s">
        <v>10</v>
      </c>
      <c r="I96" s="1">
        <v>5</v>
      </c>
      <c r="J96" s="6">
        <v>15.9</v>
      </c>
      <c r="K96" s="1">
        <v>0</v>
      </c>
      <c r="L96" s="29"/>
      <c r="O96" s="3"/>
    </row>
    <row r="97" spans="1:15" x14ac:dyDescent="0.3">
      <c r="A97" s="1" t="s">
        <v>108</v>
      </c>
      <c r="B97" s="1" t="s">
        <v>9</v>
      </c>
      <c r="C97" s="11">
        <v>41530</v>
      </c>
      <c r="D97" s="12">
        <f t="shared" si="1"/>
        <v>3</v>
      </c>
      <c r="E97" s="1">
        <v>254</v>
      </c>
      <c r="F97" s="1">
        <v>234</v>
      </c>
      <c r="G97" s="19">
        <v>301.10000000000002</v>
      </c>
      <c r="H97" s="13" t="s">
        <v>28</v>
      </c>
      <c r="I97" s="1">
        <v>2</v>
      </c>
      <c r="J97" s="6">
        <v>2.6</v>
      </c>
      <c r="K97" s="1">
        <v>0</v>
      </c>
      <c r="L97" s="29"/>
      <c r="O97" s="3"/>
    </row>
    <row r="98" spans="1:15" x14ac:dyDescent="0.3">
      <c r="A98" s="1" t="s">
        <v>109</v>
      </c>
      <c r="B98" s="1" t="s">
        <v>9</v>
      </c>
      <c r="C98" s="11">
        <v>41530</v>
      </c>
      <c r="D98" s="12">
        <f t="shared" si="1"/>
        <v>3</v>
      </c>
      <c r="E98" s="1">
        <v>251</v>
      </c>
      <c r="F98" s="1">
        <v>210</v>
      </c>
      <c r="G98" s="19">
        <v>310.39999999999998</v>
      </c>
      <c r="H98" s="13" t="s">
        <v>28</v>
      </c>
      <c r="I98" s="1">
        <v>5</v>
      </c>
      <c r="J98" s="6">
        <v>16.899999999999999</v>
      </c>
      <c r="K98" s="1">
        <v>0</v>
      </c>
      <c r="L98" s="29"/>
      <c r="O98" s="3"/>
    </row>
    <row r="99" spans="1:15" x14ac:dyDescent="0.3">
      <c r="A99" s="1" t="s">
        <v>110</v>
      </c>
      <c r="B99" s="1" t="s">
        <v>9</v>
      </c>
      <c r="C99" s="11">
        <v>41530</v>
      </c>
      <c r="D99" s="12">
        <f t="shared" si="1"/>
        <v>3</v>
      </c>
      <c r="E99" s="1">
        <v>288</v>
      </c>
      <c r="F99" s="1">
        <v>262</v>
      </c>
      <c r="G99" s="19">
        <v>444.5</v>
      </c>
      <c r="H99" s="13" t="s">
        <v>28</v>
      </c>
      <c r="I99" s="1">
        <v>5</v>
      </c>
      <c r="J99" s="6">
        <v>29.7</v>
      </c>
      <c r="K99" s="1">
        <v>0</v>
      </c>
      <c r="L99" s="29"/>
      <c r="O99" s="3"/>
    </row>
    <row r="100" spans="1:15" x14ac:dyDescent="0.3">
      <c r="A100" s="1" t="s">
        <v>111</v>
      </c>
      <c r="B100" s="1" t="s">
        <v>9</v>
      </c>
      <c r="C100" s="11">
        <v>41530</v>
      </c>
      <c r="D100" s="12">
        <f t="shared" si="1"/>
        <v>3</v>
      </c>
      <c r="E100" s="1">
        <v>244</v>
      </c>
      <c r="F100" s="1">
        <v>220</v>
      </c>
      <c r="G100" s="19">
        <v>288.8</v>
      </c>
      <c r="H100" s="13" t="s">
        <v>10</v>
      </c>
      <c r="I100" s="1">
        <v>5</v>
      </c>
      <c r="J100" s="6">
        <v>18.2</v>
      </c>
      <c r="K100" s="1">
        <v>0</v>
      </c>
      <c r="L100" s="29"/>
      <c r="O100" s="3"/>
    </row>
    <row r="101" spans="1:15" x14ac:dyDescent="0.3">
      <c r="A101" s="1" t="s">
        <v>112</v>
      </c>
      <c r="B101" s="1" t="s">
        <v>9</v>
      </c>
      <c r="C101" s="11">
        <v>41530</v>
      </c>
      <c r="D101" s="12">
        <f t="shared" si="1"/>
        <v>3</v>
      </c>
      <c r="E101" s="1">
        <v>223</v>
      </c>
      <c r="F101" s="1">
        <v>221</v>
      </c>
      <c r="G101" s="19">
        <v>239.9</v>
      </c>
      <c r="H101" s="13" t="s">
        <v>28</v>
      </c>
      <c r="I101" s="1">
        <v>4</v>
      </c>
      <c r="J101" s="6">
        <v>8.1</v>
      </c>
      <c r="K101" s="1">
        <v>0</v>
      </c>
      <c r="L101" s="29"/>
      <c r="O101" s="3"/>
    </row>
    <row r="102" spans="1:15" x14ac:dyDescent="0.3">
      <c r="A102" s="1" t="s">
        <v>113</v>
      </c>
      <c r="B102" s="1" t="s">
        <v>9</v>
      </c>
      <c r="C102" s="11">
        <v>41530</v>
      </c>
      <c r="D102" s="12">
        <f t="shared" si="1"/>
        <v>3</v>
      </c>
      <c r="E102" s="1">
        <v>224</v>
      </c>
      <c r="F102" s="1">
        <v>209</v>
      </c>
      <c r="G102" s="19">
        <v>243.7</v>
      </c>
      <c r="H102" s="13" t="s">
        <v>10</v>
      </c>
      <c r="I102" s="1">
        <v>5</v>
      </c>
      <c r="J102" s="6">
        <v>17.100000000000001</v>
      </c>
      <c r="K102" s="1">
        <v>0</v>
      </c>
      <c r="L102" s="29"/>
      <c r="O102" s="3"/>
    </row>
    <row r="103" spans="1:15" x14ac:dyDescent="0.3">
      <c r="A103" s="1" t="s">
        <v>114</v>
      </c>
      <c r="B103" s="1" t="s">
        <v>9</v>
      </c>
      <c r="C103" s="11">
        <v>41512</v>
      </c>
      <c r="D103" s="12">
        <f t="shared" si="1"/>
        <v>3</v>
      </c>
      <c r="E103" s="1">
        <v>213</v>
      </c>
      <c r="F103" s="1">
        <v>192</v>
      </c>
      <c r="G103" s="19">
        <v>173</v>
      </c>
      <c r="H103" s="13" t="s">
        <v>10</v>
      </c>
      <c r="I103" s="1">
        <v>4</v>
      </c>
      <c r="J103" s="6">
        <v>6.2</v>
      </c>
      <c r="K103" s="1">
        <v>1</v>
      </c>
      <c r="L103" s="29"/>
      <c r="O103" s="3"/>
    </row>
    <row r="104" spans="1:15" x14ac:dyDescent="0.3">
      <c r="A104" s="1" t="s">
        <v>115</v>
      </c>
      <c r="B104" s="1" t="s">
        <v>9</v>
      </c>
      <c r="C104" s="11">
        <v>41549</v>
      </c>
      <c r="D104" s="12">
        <f t="shared" si="1"/>
        <v>4</v>
      </c>
      <c r="E104" s="1">
        <v>268</v>
      </c>
      <c r="F104" s="1">
        <v>242</v>
      </c>
      <c r="G104" s="19">
        <v>366.2</v>
      </c>
      <c r="H104" s="13" t="s">
        <v>10</v>
      </c>
      <c r="I104" s="1">
        <v>6</v>
      </c>
      <c r="J104" s="6">
        <v>10.8</v>
      </c>
      <c r="K104" s="1">
        <v>0</v>
      </c>
      <c r="L104" s="29"/>
      <c r="O104" s="3"/>
    </row>
    <row r="105" spans="1:15" x14ac:dyDescent="0.3">
      <c r="A105" s="1" t="s">
        <v>116</v>
      </c>
      <c r="B105" s="1" t="s">
        <v>9</v>
      </c>
      <c r="C105" s="11">
        <v>41547</v>
      </c>
      <c r="D105" s="12">
        <f t="shared" si="1"/>
        <v>3</v>
      </c>
      <c r="E105" s="1">
        <v>304</v>
      </c>
      <c r="F105" s="1">
        <v>278</v>
      </c>
      <c r="G105" s="19">
        <v>515.5</v>
      </c>
      <c r="H105" s="13" t="s">
        <v>10</v>
      </c>
      <c r="I105" s="1">
        <v>6</v>
      </c>
      <c r="J105" s="6">
        <v>19.3</v>
      </c>
      <c r="K105" s="1">
        <v>0</v>
      </c>
      <c r="L105" s="29"/>
      <c r="O105" s="3"/>
    </row>
    <row r="106" spans="1:15" x14ac:dyDescent="0.3">
      <c r="A106" s="1" t="s">
        <v>117</v>
      </c>
      <c r="B106" s="1" t="s">
        <v>9</v>
      </c>
      <c r="C106" s="11">
        <v>41547</v>
      </c>
      <c r="D106" s="12">
        <f t="shared" si="1"/>
        <v>3</v>
      </c>
      <c r="E106" s="1">
        <v>260</v>
      </c>
      <c r="F106" s="1">
        <v>240</v>
      </c>
      <c r="G106" s="19">
        <v>350.7</v>
      </c>
      <c r="H106" s="13" t="s">
        <v>10</v>
      </c>
      <c r="I106" s="1">
        <v>3</v>
      </c>
      <c r="J106" s="6">
        <v>5.5</v>
      </c>
      <c r="K106" s="1">
        <v>0</v>
      </c>
      <c r="L106" s="29"/>
      <c r="O106" s="3"/>
    </row>
    <row r="107" spans="1:15" x14ac:dyDescent="0.3">
      <c r="A107" s="1" t="s">
        <v>118</v>
      </c>
      <c r="B107" s="1" t="s">
        <v>9</v>
      </c>
      <c r="C107" s="11">
        <v>41479</v>
      </c>
      <c r="D107" s="12">
        <f t="shared" si="1"/>
        <v>3</v>
      </c>
      <c r="E107" s="1">
        <v>251</v>
      </c>
      <c r="F107" s="1">
        <v>230</v>
      </c>
      <c r="G107" s="19">
        <v>304.2</v>
      </c>
      <c r="H107" s="13" t="s">
        <v>28</v>
      </c>
      <c r="I107" s="1">
        <v>4</v>
      </c>
      <c r="J107" s="6">
        <v>9.6</v>
      </c>
      <c r="K107" s="1">
        <v>0</v>
      </c>
      <c r="L107" s="29"/>
      <c r="O107" s="3"/>
    </row>
    <row r="108" spans="1:15" x14ac:dyDescent="0.3">
      <c r="A108" s="1" t="s">
        <v>119</v>
      </c>
      <c r="B108" s="1" t="s">
        <v>9</v>
      </c>
      <c r="C108" s="11">
        <v>41547</v>
      </c>
      <c r="D108" s="12">
        <f t="shared" si="1"/>
        <v>3</v>
      </c>
      <c r="E108" s="1">
        <v>239</v>
      </c>
      <c r="F108" s="1">
        <v>227</v>
      </c>
      <c r="G108" s="19">
        <v>334.4</v>
      </c>
      <c r="H108" s="13" t="s">
        <v>28</v>
      </c>
      <c r="I108" s="1">
        <v>4</v>
      </c>
      <c r="J108" s="6">
        <v>12.2</v>
      </c>
      <c r="K108" s="1">
        <v>0</v>
      </c>
      <c r="L108" s="29"/>
      <c r="O108" s="3"/>
    </row>
    <row r="109" spans="1:15" x14ac:dyDescent="0.3">
      <c r="A109" s="1" t="s">
        <v>120</v>
      </c>
      <c r="B109" s="1" t="s">
        <v>9</v>
      </c>
      <c r="C109" s="11">
        <v>41549</v>
      </c>
      <c r="D109" s="12">
        <f t="shared" si="1"/>
        <v>4</v>
      </c>
      <c r="E109" s="1">
        <v>400</v>
      </c>
      <c r="F109" s="1">
        <v>365</v>
      </c>
      <c r="G109" s="19">
        <v>1234.5</v>
      </c>
      <c r="H109" s="13" t="s">
        <v>10</v>
      </c>
      <c r="I109" s="1">
        <v>5</v>
      </c>
      <c r="J109" s="6">
        <v>54.3</v>
      </c>
      <c r="K109" s="1">
        <v>1</v>
      </c>
      <c r="L109" s="29"/>
      <c r="O109" s="3"/>
    </row>
    <row r="110" spans="1:15" x14ac:dyDescent="0.3">
      <c r="A110" s="1" t="s">
        <v>121</v>
      </c>
      <c r="B110" s="1" t="s">
        <v>9</v>
      </c>
      <c r="C110" s="11">
        <v>41547</v>
      </c>
      <c r="D110" s="12">
        <f t="shared" si="1"/>
        <v>3</v>
      </c>
      <c r="E110" s="1">
        <v>239</v>
      </c>
      <c r="F110" s="1">
        <v>219</v>
      </c>
      <c r="G110" s="19">
        <v>268</v>
      </c>
      <c r="H110" s="13" t="s">
        <v>10</v>
      </c>
      <c r="I110" s="1">
        <v>3</v>
      </c>
      <c r="J110" s="6">
        <v>3.1</v>
      </c>
      <c r="K110" s="1">
        <v>0</v>
      </c>
      <c r="L110" s="29"/>
      <c r="O110" s="3"/>
    </row>
    <row r="111" spans="1:15" x14ac:dyDescent="0.3">
      <c r="A111" s="1" t="s">
        <v>122</v>
      </c>
      <c r="B111" s="1" t="s">
        <v>9</v>
      </c>
      <c r="C111" s="11">
        <v>41547</v>
      </c>
      <c r="D111" s="12">
        <f t="shared" si="1"/>
        <v>3</v>
      </c>
      <c r="E111" s="1">
        <v>242</v>
      </c>
      <c r="F111" s="1">
        <v>219</v>
      </c>
      <c r="G111" s="19">
        <v>279.89999999999998</v>
      </c>
      <c r="H111" s="13" t="s">
        <v>10</v>
      </c>
      <c r="I111" s="1">
        <v>4</v>
      </c>
      <c r="J111" s="6">
        <v>7</v>
      </c>
      <c r="K111" s="1">
        <v>1</v>
      </c>
      <c r="L111" s="29"/>
      <c r="O111" s="3"/>
    </row>
    <row r="112" spans="1:15" x14ac:dyDescent="0.3">
      <c r="A112" s="1" t="s">
        <v>123</v>
      </c>
      <c r="B112" s="1" t="s">
        <v>9</v>
      </c>
      <c r="C112" s="11">
        <v>41547</v>
      </c>
      <c r="D112" s="12">
        <f t="shared" si="1"/>
        <v>3</v>
      </c>
      <c r="E112" s="1">
        <v>248</v>
      </c>
      <c r="F112" s="1">
        <v>230</v>
      </c>
      <c r="G112" s="19">
        <v>314.7</v>
      </c>
      <c r="H112" s="13" t="s">
        <v>28</v>
      </c>
      <c r="I112" s="1">
        <v>4</v>
      </c>
      <c r="J112" s="6">
        <v>15.1</v>
      </c>
      <c r="K112" s="1">
        <v>0</v>
      </c>
      <c r="L112" s="29"/>
      <c r="O112" s="3"/>
    </row>
    <row r="113" spans="1:15" x14ac:dyDescent="0.3">
      <c r="A113" s="1" t="s">
        <v>124</v>
      </c>
      <c r="B113" s="1" t="s">
        <v>9</v>
      </c>
      <c r="C113" s="11">
        <v>41549</v>
      </c>
      <c r="D113" s="12">
        <f t="shared" si="1"/>
        <v>4</v>
      </c>
      <c r="E113" s="1">
        <v>248</v>
      </c>
      <c r="F113" s="1">
        <v>227</v>
      </c>
      <c r="G113" s="19">
        <v>292.10000000000002</v>
      </c>
      <c r="H113" s="13" t="s">
        <v>10</v>
      </c>
      <c r="I113" s="1">
        <v>6</v>
      </c>
      <c r="J113" s="6">
        <v>10</v>
      </c>
      <c r="K113" s="1">
        <v>0</v>
      </c>
      <c r="L113" s="29"/>
      <c r="O113" s="3"/>
    </row>
    <row r="114" spans="1:15" x14ac:dyDescent="0.3">
      <c r="A114" s="1" t="s">
        <v>125</v>
      </c>
      <c r="B114" s="1" t="s">
        <v>9</v>
      </c>
      <c r="C114" s="11">
        <v>41479</v>
      </c>
      <c r="D114" s="12">
        <f t="shared" si="1"/>
        <v>3</v>
      </c>
      <c r="E114" s="1">
        <v>273</v>
      </c>
      <c r="F114" s="1">
        <v>250</v>
      </c>
      <c r="G114" s="19">
        <v>430</v>
      </c>
      <c r="H114" s="13" t="s">
        <v>10</v>
      </c>
      <c r="I114" s="1">
        <v>5</v>
      </c>
      <c r="J114" s="6">
        <v>28.2</v>
      </c>
      <c r="K114" s="1">
        <v>2</v>
      </c>
      <c r="L114" s="29"/>
      <c r="O114" s="3"/>
    </row>
    <row r="115" spans="1:15" x14ac:dyDescent="0.3">
      <c r="A115" s="1" t="s">
        <v>126</v>
      </c>
      <c r="B115" s="1" t="s">
        <v>9</v>
      </c>
      <c r="C115" s="11">
        <v>41479</v>
      </c>
      <c r="D115" s="12">
        <f t="shared" si="1"/>
        <v>3</v>
      </c>
      <c r="E115" s="1">
        <v>240</v>
      </c>
      <c r="F115" s="1">
        <v>215</v>
      </c>
      <c r="G115" s="19">
        <v>259.8</v>
      </c>
      <c r="H115" s="13" t="s">
        <v>10</v>
      </c>
      <c r="I115" s="1">
        <v>5</v>
      </c>
      <c r="J115" s="6">
        <v>13.8</v>
      </c>
      <c r="K115" s="1">
        <v>1</v>
      </c>
      <c r="L115" s="29"/>
      <c r="O115" s="3"/>
    </row>
    <row r="116" spans="1:15" x14ac:dyDescent="0.3">
      <c r="A116" s="1" t="s">
        <v>127</v>
      </c>
      <c r="B116" s="1" t="s">
        <v>9</v>
      </c>
      <c r="C116" s="11">
        <v>41477</v>
      </c>
      <c r="D116" s="12">
        <f t="shared" si="1"/>
        <v>3</v>
      </c>
      <c r="E116" s="1">
        <v>217</v>
      </c>
      <c r="F116" s="1">
        <v>194</v>
      </c>
      <c r="G116" s="19">
        <v>194</v>
      </c>
      <c r="H116" s="13" t="s">
        <v>28</v>
      </c>
      <c r="I116" s="1">
        <v>1</v>
      </c>
      <c r="J116" s="6">
        <v>0.1</v>
      </c>
      <c r="K116" s="1">
        <v>0</v>
      </c>
      <c r="L116" s="29"/>
      <c r="O116" s="3"/>
    </row>
    <row r="117" spans="1:15" x14ac:dyDescent="0.3">
      <c r="A117" s="1" t="s">
        <v>128</v>
      </c>
      <c r="B117" s="1" t="s">
        <v>9</v>
      </c>
      <c r="C117" s="11">
        <v>41549</v>
      </c>
      <c r="D117" s="12">
        <f t="shared" si="1"/>
        <v>4</v>
      </c>
      <c r="E117" s="1">
        <v>240</v>
      </c>
      <c r="F117" s="1">
        <v>211</v>
      </c>
      <c r="G117" s="19">
        <v>287.60000000000002</v>
      </c>
      <c r="H117" s="13" t="s">
        <v>10</v>
      </c>
      <c r="I117" s="1">
        <v>4</v>
      </c>
      <c r="J117" s="6">
        <v>18.2</v>
      </c>
      <c r="K117" s="1">
        <v>1</v>
      </c>
      <c r="L117" s="29"/>
      <c r="O117" s="3"/>
    </row>
    <row r="118" spans="1:15" x14ac:dyDescent="0.3">
      <c r="A118" s="1" t="s">
        <v>129</v>
      </c>
      <c r="B118" s="1" t="s">
        <v>9</v>
      </c>
      <c r="C118" s="11">
        <v>41479</v>
      </c>
      <c r="D118" s="12">
        <f t="shared" si="1"/>
        <v>3</v>
      </c>
      <c r="E118" s="1">
        <v>229</v>
      </c>
      <c r="F118" s="1">
        <v>204</v>
      </c>
      <c r="G118" s="19">
        <v>238.6</v>
      </c>
      <c r="H118" s="13" t="s">
        <v>28</v>
      </c>
      <c r="I118" s="1">
        <v>4</v>
      </c>
      <c r="J118" s="6">
        <v>5.5</v>
      </c>
      <c r="K118" s="1">
        <v>2</v>
      </c>
      <c r="L118" s="29"/>
      <c r="O118" s="3"/>
    </row>
    <row r="119" spans="1:15" x14ac:dyDescent="0.3">
      <c r="A119" s="1" t="s">
        <v>129</v>
      </c>
      <c r="B119" s="1" t="s">
        <v>9</v>
      </c>
      <c r="C119" s="11">
        <v>41479</v>
      </c>
      <c r="D119" s="12">
        <f t="shared" si="1"/>
        <v>3</v>
      </c>
      <c r="E119" s="1">
        <v>231</v>
      </c>
      <c r="F119" s="1">
        <v>209</v>
      </c>
      <c r="G119" s="19">
        <v>245</v>
      </c>
      <c r="H119" s="13" t="s">
        <v>28</v>
      </c>
      <c r="I119" s="1">
        <v>4</v>
      </c>
      <c r="J119" s="6">
        <v>13</v>
      </c>
      <c r="K119" s="1">
        <v>0</v>
      </c>
      <c r="L119" s="29"/>
      <c r="O119" s="3"/>
    </row>
    <row r="120" spans="1:15" x14ac:dyDescent="0.3">
      <c r="A120" s="1" t="s">
        <v>130</v>
      </c>
      <c r="B120" s="1" t="s">
        <v>9</v>
      </c>
      <c r="C120" s="11">
        <v>41477</v>
      </c>
      <c r="D120" s="12">
        <f t="shared" si="1"/>
        <v>3</v>
      </c>
      <c r="E120" s="1">
        <v>196</v>
      </c>
      <c r="F120" s="1">
        <v>175</v>
      </c>
      <c r="G120" s="19">
        <v>120</v>
      </c>
      <c r="H120" s="13" t="s">
        <v>10</v>
      </c>
      <c r="I120" s="1">
        <v>2</v>
      </c>
      <c r="J120" s="6">
        <v>2.2999999999999998</v>
      </c>
      <c r="K120" s="1">
        <v>0</v>
      </c>
      <c r="L120" s="29"/>
      <c r="O120" s="3"/>
    </row>
    <row r="121" spans="1:15" x14ac:dyDescent="0.3">
      <c r="A121" s="1" t="s">
        <v>131</v>
      </c>
      <c r="B121" s="1" t="s">
        <v>9</v>
      </c>
      <c r="C121" s="11">
        <v>41549</v>
      </c>
      <c r="D121" s="12">
        <f t="shared" si="1"/>
        <v>4</v>
      </c>
      <c r="E121" s="1">
        <v>241</v>
      </c>
      <c r="F121" s="1">
        <v>217</v>
      </c>
      <c r="G121" s="19">
        <v>292.3</v>
      </c>
      <c r="H121" s="13" t="s">
        <v>10</v>
      </c>
      <c r="I121" s="1">
        <v>4</v>
      </c>
      <c r="J121" s="6">
        <v>15.4</v>
      </c>
      <c r="L121" s="29"/>
      <c r="O121" s="3"/>
    </row>
    <row r="122" spans="1:15" x14ac:dyDescent="0.3">
      <c r="A122" s="1" t="s">
        <v>132</v>
      </c>
      <c r="B122" s="1" t="s">
        <v>9</v>
      </c>
      <c r="C122" s="11">
        <v>41423</v>
      </c>
      <c r="D122" s="12">
        <f t="shared" si="1"/>
        <v>2</v>
      </c>
      <c r="E122" s="1">
        <v>229</v>
      </c>
      <c r="F122" s="1">
        <v>216</v>
      </c>
      <c r="G122" s="19">
        <v>264.60000000000002</v>
      </c>
      <c r="H122" s="13" t="s">
        <v>10</v>
      </c>
      <c r="I122" s="1">
        <v>4</v>
      </c>
      <c r="J122" s="6">
        <v>13.2</v>
      </c>
      <c r="K122" s="1">
        <v>0</v>
      </c>
      <c r="L122" s="29"/>
      <c r="O122" s="3"/>
    </row>
    <row r="123" spans="1:15" x14ac:dyDescent="0.3">
      <c r="A123" s="1" t="s">
        <v>133</v>
      </c>
      <c r="B123" s="1" t="s">
        <v>9</v>
      </c>
      <c r="C123" s="11">
        <v>41837</v>
      </c>
      <c r="D123" s="12">
        <f t="shared" si="1"/>
        <v>3</v>
      </c>
      <c r="E123" s="1">
        <v>258</v>
      </c>
      <c r="F123" s="1">
        <v>219</v>
      </c>
      <c r="G123" s="19">
        <v>351</v>
      </c>
      <c r="H123" s="13" t="s">
        <v>10</v>
      </c>
      <c r="I123" s="1">
        <v>5</v>
      </c>
      <c r="J123" s="6">
        <v>24</v>
      </c>
      <c r="K123" s="1">
        <v>1</v>
      </c>
      <c r="L123" s="29"/>
      <c r="O123" s="3"/>
    </row>
    <row r="124" spans="1:15" x14ac:dyDescent="0.3">
      <c r="A124" s="1" t="s">
        <v>133</v>
      </c>
      <c r="B124" s="1" t="s">
        <v>9</v>
      </c>
      <c r="C124" s="11">
        <v>41393</v>
      </c>
      <c r="D124" s="12">
        <f t="shared" si="1"/>
        <v>2</v>
      </c>
      <c r="E124" s="1">
        <v>258</v>
      </c>
      <c r="F124" s="1">
        <v>235</v>
      </c>
      <c r="G124" s="19">
        <v>350.5</v>
      </c>
      <c r="H124" s="13" t="s">
        <v>28</v>
      </c>
      <c r="I124" s="1">
        <v>5</v>
      </c>
      <c r="J124" s="6">
        <v>25</v>
      </c>
      <c r="K124" s="1">
        <v>1</v>
      </c>
      <c r="L124" s="29"/>
      <c r="O124" s="3"/>
    </row>
    <row r="125" spans="1:15" x14ac:dyDescent="0.3">
      <c r="A125" s="1" t="s">
        <v>134</v>
      </c>
      <c r="B125" s="1" t="s">
        <v>9</v>
      </c>
      <c r="C125" s="11">
        <v>41758</v>
      </c>
      <c r="D125" s="12">
        <f t="shared" si="1"/>
        <v>2</v>
      </c>
      <c r="E125" s="1">
        <v>236</v>
      </c>
      <c r="F125" s="1">
        <v>211</v>
      </c>
      <c r="G125" s="19">
        <v>261.60000000000002</v>
      </c>
      <c r="H125" s="13" t="s">
        <v>10</v>
      </c>
      <c r="I125" s="1">
        <v>2</v>
      </c>
      <c r="J125" s="6">
        <v>6.3</v>
      </c>
      <c r="K125" s="1">
        <v>1</v>
      </c>
      <c r="L125" s="29"/>
      <c r="O125" s="3"/>
    </row>
    <row r="126" spans="1:15" x14ac:dyDescent="0.3">
      <c r="A126" s="1" t="s">
        <v>134</v>
      </c>
      <c r="B126" s="1" t="s">
        <v>9</v>
      </c>
      <c r="C126" s="11">
        <v>42201</v>
      </c>
      <c r="D126" s="12">
        <f t="shared" si="1"/>
        <v>3</v>
      </c>
      <c r="E126" s="1">
        <v>270</v>
      </c>
      <c r="F126" s="1">
        <v>250</v>
      </c>
      <c r="G126" s="19">
        <v>384.5</v>
      </c>
      <c r="H126" s="13" t="s">
        <v>28</v>
      </c>
      <c r="I126" s="1">
        <v>5</v>
      </c>
      <c r="J126" s="6">
        <v>3.15</v>
      </c>
      <c r="K126" s="1">
        <v>2</v>
      </c>
      <c r="L126" s="29"/>
      <c r="O126" s="3"/>
    </row>
    <row r="127" spans="1:15" x14ac:dyDescent="0.3">
      <c r="A127" s="1" t="s">
        <v>135</v>
      </c>
      <c r="B127" s="1" t="s">
        <v>9</v>
      </c>
      <c r="C127" s="11">
        <v>41837</v>
      </c>
      <c r="D127" s="12">
        <f t="shared" si="1"/>
        <v>3</v>
      </c>
      <c r="E127" s="1">
        <v>215</v>
      </c>
      <c r="F127" s="1">
        <v>190</v>
      </c>
      <c r="G127" s="19">
        <v>193.5</v>
      </c>
      <c r="H127" s="13" t="s">
        <v>10</v>
      </c>
      <c r="I127" s="1">
        <v>2</v>
      </c>
      <c r="J127" s="6">
        <v>2.38</v>
      </c>
      <c r="K127" s="1">
        <v>1</v>
      </c>
      <c r="L127" s="29"/>
      <c r="O127" s="3"/>
    </row>
    <row r="128" spans="1:15" x14ac:dyDescent="0.3">
      <c r="A128" s="1" t="s">
        <v>135</v>
      </c>
      <c r="B128" s="1" t="s">
        <v>9</v>
      </c>
      <c r="C128" s="11">
        <v>41758</v>
      </c>
      <c r="D128" s="12">
        <f t="shared" si="1"/>
        <v>2</v>
      </c>
      <c r="E128" s="1">
        <v>326</v>
      </c>
      <c r="F128" s="1">
        <v>302</v>
      </c>
      <c r="G128" s="19">
        <v>769.5</v>
      </c>
      <c r="H128" s="13" t="s">
        <v>10</v>
      </c>
      <c r="I128" s="1">
        <v>4</v>
      </c>
      <c r="J128" s="6">
        <v>42</v>
      </c>
      <c r="K128" s="1">
        <v>1</v>
      </c>
      <c r="L128" s="29"/>
      <c r="O128" s="3"/>
    </row>
    <row r="129" spans="1:15" x14ac:dyDescent="0.3">
      <c r="A129" s="1" t="s">
        <v>136</v>
      </c>
      <c r="B129" s="1" t="s">
        <v>9</v>
      </c>
      <c r="C129" s="11">
        <v>41758</v>
      </c>
      <c r="D129" s="12">
        <f t="shared" si="1"/>
        <v>2</v>
      </c>
      <c r="E129" s="1">
        <v>242</v>
      </c>
      <c r="F129" s="1">
        <v>228</v>
      </c>
      <c r="G129" s="19">
        <v>336</v>
      </c>
      <c r="H129" s="13" t="s">
        <v>10</v>
      </c>
      <c r="I129" s="1">
        <v>4</v>
      </c>
      <c r="J129" s="6">
        <v>17</v>
      </c>
      <c r="K129" s="1">
        <v>2</v>
      </c>
      <c r="L129" s="29"/>
      <c r="O129" s="3"/>
    </row>
    <row r="130" spans="1:15" x14ac:dyDescent="0.3">
      <c r="A130" s="1" t="s">
        <v>137</v>
      </c>
      <c r="B130" s="1" t="s">
        <v>9</v>
      </c>
      <c r="C130" s="11">
        <v>42211</v>
      </c>
      <c r="D130" s="12">
        <f t="shared" ref="D130:D193" si="2">ROUNDUP(MONTH(C130)/3,0)</f>
        <v>3</v>
      </c>
      <c r="E130" s="1">
        <v>185</v>
      </c>
      <c r="F130" s="1">
        <v>175</v>
      </c>
      <c r="G130" s="19">
        <v>127</v>
      </c>
      <c r="H130" s="13" t="s">
        <v>28</v>
      </c>
      <c r="I130" s="1">
        <v>1</v>
      </c>
      <c r="J130" s="6">
        <v>0.55000000000000004</v>
      </c>
      <c r="K130" s="1">
        <v>2</v>
      </c>
      <c r="L130" s="29"/>
      <c r="O130" s="3"/>
    </row>
    <row r="131" spans="1:15" x14ac:dyDescent="0.3">
      <c r="A131" s="1" t="s">
        <v>137</v>
      </c>
      <c r="B131" s="1" t="s">
        <v>9</v>
      </c>
      <c r="C131" s="11">
        <v>41758</v>
      </c>
      <c r="D131" s="12">
        <f t="shared" si="2"/>
        <v>2</v>
      </c>
      <c r="E131" s="1">
        <v>259</v>
      </c>
      <c r="F131" s="1">
        <v>235</v>
      </c>
      <c r="G131" s="19">
        <v>371</v>
      </c>
      <c r="H131" s="13" t="s">
        <v>10</v>
      </c>
      <c r="I131" s="1">
        <v>4</v>
      </c>
      <c r="J131" s="6">
        <v>16.5</v>
      </c>
      <c r="K131" s="1">
        <v>2</v>
      </c>
      <c r="L131" s="29"/>
      <c r="O131" s="3"/>
    </row>
    <row r="132" spans="1:15" x14ac:dyDescent="0.3">
      <c r="A132" s="1" t="s">
        <v>138</v>
      </c>
      <c r="B132" s="1" t="s">
        <v>9</v>
      </c>
      <c r="C132" s="11">
        <v>41846</v>
      </c>
      <c r="D132" s="12">
        <f t="shared" si="2"/>
        <v>3</v>
      </c>
      <c r="E132" s="1">
        <v>161</v>
      </c>
      <c r="F132" s="1">
        <v>154</v>
      </c>
      <c r="G132" s="19">
        <v>100.08</v>
      </c>
      <c r="H132" s="13" t="s">
        <v>10</v>
      </c>
      <c r="I132" s="1">
        <v>2</v>
      </c>
      <c r="J132" s="6">
        <v>0.16</v>
      </c>
      <c r="K132" s="1">
        <v>2</v>
      </c>
      <c r="L132" s="29"/>
      <c r="O132" s="3"/>
    </row>
    <row r="133" spans="1:15" x14ac:dyDescent="0.3">
      <c r="A133" s="1" t="s">
        <v>138</v>
      </c>
      <c r="B133" s="1" t="s">
        <v>9</v>
      </c>
      <c r="C133" s="11">
        <v>41758</v>
      </c>
      <c r="D133" s="12">
        <f t="shared" si="2"/>
        <v>2</v>
      </c>
      <c r="E133" s="1">
        <v>240</v>
      </c>
      <c r="F133" s="1">
        <v>225</v>
      </c>
      <c r="G133" s="19">
        <v>294.10000000000002</v>
      </c>
      <c r="H133" s="13" t="s">
        <v>10</v>
      </c>
      <c r="I133" s="1">
        <v>6</v>
      </c>
      <c r="J133" s="6">
        <v>16.5</v>
      </c>
      <c r="K133" s="1">
        <v>1</v>
      </c>
      <c r="L133" s="29"/>
      <c r="O133" s="3"/>
    </row>
    <row r="134" spans="1:15" x14ac:dyDescent="0.3">
      <c r="A134" s="1" t="s">
        <v>139</v>
      </c>
      <c r="B134" s="1" t="s">
        <v>9</v>
      </c>
      <c r="C134" s="11">
        <v>42211</v>
      </c>
      <c r="D134" s="12">
        <f t="shared" si="2"/>
        <v>3</v>
      </c>
      <c r="E134" s="1">
        <v>186</v>
      </c>
      <c r="F134" s="1">
        <v>173</v>
      </c>
      <c r="G134" s="19">
        <v>129.19999999999999</v>
      </c>
      <c r="H134" s="13" t="s">
        <v>28</v>
      </c>
      <c r="I134" s="1">
        <v>2</v>
      </c>
      <c r="J134" s="6">
        <v>0.14000000000000001</v>
      </c>
      <c r="K134" s="1">
        <v>1</v>
      </c>
      <c r="L134" s="29"/>
      <c r="O134" s="3"/>
    </row>
    <row r="135" spans="1:15" x14ac:dyDescent="0.3">
      <c r="A135" s="1" t="s">
        <v>139</v>
      </c>
      <c r="B135" s="1" t="s">
        <v>9</v>
      </c>
      <c r="C135" s="11">
        <v>41758</v>
      </c>
      <c r="D135" s="12">
        <f t="shared" si="2"/>
        <v>2</v>
      </c>
      <c r="E135" s="1">
        <v>260</v>
      </c>
      <c r="F135" s="1">
        <v>235</v>
      </c>
      <c r="G135" s="19">
        <v>360.4</v>
      </c>
      <c r="H135" s="13" t="s">
        <v>10</v>
      </c>
      <c r="I135" s="1">
        <v>5</v>
      </c>
      <c r="J135" s="6">
        <v>31</v>
      </c>
      <c r="K135" s="1">
        <v>1</v>
      </c>
      <c r="L135" s="29"/>
      <c r="O135" s="3"/>
    </row>
    <row r="136" spans="1:15" x14ac:dyDescent="0.3">
      <c r="A136" s="1" t="s">
        <v>140</v>
      </c>
      <c r="B136" s="1" t="s">
        <v>9</v>
      </c>
      <c r="C136" s="11">
        <v>42211</v>
      </c>
      <c r="D136" s="12">
        <f t="shared" si="2"/>
        <v>3</v>
      </c>
      <c r="E136" s="1">
        <v>188</v>
      </c>
      <c r="F136" s="1">
        <v>164</v>
      </c>
      <c r="G136" s="19">
        <v>146</v>
      </c>
      <c r="H136" s="13" t="s">
        <v>28</v>
      </c>
      <c r="I136" s="1">
        <v>2</v>
      </c>
      <c r="J136" s="6">
        <v>0.23</v>
      </c>
      <c r="K136" s="1">
        <v>2</v>
      </c>
      <c r="L136" s="29"/>
      <c r="O136" s="3"/>
    </row>
    <row r="137" spans="1:15" x14ac:dyDescent="0.3">
      <c r="A137" s="1" t="s">
        <v>140</v>
      </c>
      <c r="B137" s="1" t="s">
        <v>9</v>
      </c>
      <c r="C137" s="11">
        <v>41782</v>
      </c>
      <c r="D137" s="12">
        <f t="shared" si="2"/>
        <v>2</v>
      </c>
      <c r="E137" s="1">
        <v>260</v>
      </c>
      <c r="F137" s="1">
        <v>245</v>
      </c>
      <c r="G137" s="19">
        <v>317.5</v>
      </c>
      <c r="H137" s="13" t="s">
        <v>28</v>
      </c>
      <c r="I137" s="1">
        <v>5</v>
      </c>
      <c r="J137" s="6">
        <v>25.9</v>
      </c>
      <c r="K137" s="1">
        <v>2</v>
      </c>
      <c r="L137" s="29"/>
      <c r="O137" s="3"/>
    </row>
    <row r="138" spans="1:15" x14ac:dyDescent="0.3">
      <c r="A138" s="1" t="s">
        <v>141</v>
      </c>
      <c r="B138" s="1" t="s">
        <v>9</v>
      </c>
      <c r="C138" s="11">
        <v>41662</v>
      </c>
      <c r="D138" s="12">
        <f t="shared" si="2"/>
        <v>1</v>
      </c>
      <c r="E138" s="1">
        <v>240</v>
      </c>
      <c r="F138" s="1">
        <v>220</v>
      </c>
      <c r="G138" s="19">
        <v>311</v>
      </c>
      <c r="H138" s="13" t="s">
        <v>10</v>
      </c>
      <c r="I138" s="1">
        <v>3</v>
      </c>
      <c r="J138" s="6">
        <v>3.64</v>
      </c>
      <c r="K138" s="1">
        <v>2</v>
      </c>
      <c r="L138" s="29"/>
      <c r="O138" s="3"/>
    </row>
    <row r="139" spans="1:15" x14ac:dyDescent="0.3">
      <c r="A139" s="1" t="s">
        <v>141</v>
      </c>
      <c r="B139" s="1" t="s">
        <v>9</v>
      </c>
      <c r="C139" s="11">
        <v>41782</v>
      </c>
      <c r="D139" s="12">
        <f t="shared" si="2"/>
        <v>2</v>
      </c>
      <c r="E139" s="1">
        <v>295</v>
      </c>
      <c r="F139" s="1">
        <v>268</v>
      </c>
      <c r="G139" s="19">
        <v>530</v>
      </c>
      <c r="H139" s="13" t="s">
        <v>28</v>
      </c>
      <c r="I139" s="1">
        <v>5</v>
      </c>
      <c r="J139" s="6">
        <v>49.5</v>
      </c>
      <c r="K139" s="1">
        <v>0</v>
      </c>
      <c r="L139" s="29"/>
      <c r="O139" s="3"/>
    </row>
    <row r="140" spans="1:15" x14ac:dyDescent="0.3">
      <c r="A140" s="1" t="s">
        <v>142</v>
      </c>
      <c r="B140" s="1" t="s">
        <v>9</v>
      </c>
      <c r="C140" s="11">
        <v>41846</v>
      </c>
      <c r="D140" s="12">
        <f t="shared" si="2"/>
        <v>3</v>
      </c>
      <c r="E140" s="1">
        <v>126</v>
      </c>
      <c r="F140" s="1">
        <v>116</v>
      </c>
      <c r="G140" s="19">
        <v>39.5</v>
      </c>
      <c r="H140" s="13" t="s">
        <v>143</v>
      </c>
      <c r="I140" s="1">
        <v>1</v>
      </c>
      <c r="J140" s="6">
        <v>0</v>
      </c>
      <c r="K140" s="1">
        <v>1</v>
      </c>
      <c r="L140" s="29"/>
      <c r="O140" s="3"/>
    </row>
    <row r="141" spans="1:15" x14ac:dyDescent="0.3">
      <c r="A141" s="1" t="s">
        <v>142</v>
      </c>
      <c r="B141" s="1" t="s">
        <v>9</v>
      </c>
      <c r="C141" s="11">
        <v>41782</v>
      </c>
      <c r="D141" s="12">
        <f t="shared" si="2"/>
        <v>2</v>
      </c>
      <c r="E141" s="1">
        <v>238</v>
      </c>
      <c r="F141" s="1">
        <v>222</v>
      </c>
      <c r="G141" s="19">
        <v>310.5</v>
      </c>
      <c r="H141" s="13" t="s">
        <v>28</v>
      </c>
      <c r="I141" s="1">
        <v>4</v>
      </c>
      <c r="J141" s="6">
        <v>23</v>
      </c>
      <c r="K141" s="1">
        <v>1</v>
      </c>
      <c r="L141" s="29"/>
      <c r="O141" s="3"/>
    </row>
    <row r="142" spans="1:15" x14ac:dyDescent="0.3">
      <c r="A142" s="1" t="s">
        <v>144</v>
      </c>
      <c r="B142" s="1" t="s">
        <v>9</v>
      </c>
      <c r="C142" s="11">
        <v>41846</v>
      </c>
      <c r="D142" s="12">
        <f t="shared" si="2"/>
        <v>3</v>
      </c>
      <c r="E142" s="1">
        <v>179</v>
      </c>
      <c r="F142" s="1">
        <v>164</v>
      </c>
      <c r="G142" s="19">
        <v>116</v>
      </c>
      <c r="H142" s="13" t="s">
        <v>38</v>
      </c>
      <c r="I142" s="1" t="s">
        <v>145</v>
      </c>
      <c r="J142" s="6" t="s">
        <v>146</v>
      </c>
      <c r="K142" s="1">
        <v>2</v>
      </c>
      <c r="L142" s="29"/>
      <c r="O142" s="3"/>
    </row>
    <row r="143" spans="1:15" x14ac:dyDescent="0.3">
      <c r="A143" s="1" t="s">
        <v>144</v>
      </c>
      <c r="B143" s="1" t="s">
        <v>9</v>
      </c>
      <c r="C143" s="11">
        <v>41782</v>
      </c>
      <c r="D143" s="12">
        <f t="shared" si="2"/>
        <v>2</v>
      </c>
      <c r="E143" s="1">
        <v>245</v>
      </c>
      <c r="F143" s="1">
        <v>221</v>
      </c>
      <c r="G143" s="19">
        <v>300</v>
      </c>
      <c r="H143" s="13" t="s">
        <v>10</v>
      </c>
      <c r="I143" s="1">
        <v>5</v>
      </c>
      <c r="J143" s="6">
        <v>15.5</v>
      </c>
      <c r="K143" s="1">
        <v>2</v>
      </c>
      <c r="L143" s="29"/>
      <c r="O143" s="3"/>
    </row>
    <row r="144" spans="1:15" x14ac:dyDescent="0.3">
      <c r="A144" s="1" t="s">
        <v>147</v>
      </c>
      <c r="B144" s="1" t="s">
        <v>9</v>
      </c>
      <c r="C144" s="11">
        <v>41775</v>
      </c>
      <c r="D144" s="12">
        <f t="shared" si="2"/>
        <v>2</v>
      </c>
      <c r="E144" s="1">
        <v>218</v>
      </c>
      <c r="F144" s="1">
        <v>205</v>
      </c>
      <c r="G144" s="19">
        <v>213.7</v>
      </c>
      <c r="H144" s="13" t="s">
        <v>10</v>
      </c>
      <c r="I144" s="1">
        <v>6</v>
      </c>
      <c r="J144" s="6">
        <v>13.07</v>
      </c>
      <c r="K144" s="1">
        <v>1</v>
      </c>
      <c r="L144" s="29"/>
      <c r="O144" s="3"/>
    </row>
    <row r="145" spans="1:15" x14ac:dyDescent="0.3">
      <c r="A145" s="1" t="s">
        <v>147</v>
      </c>
      <c r="B145" s="1" t="s">
        <v>9</v>
      </c>
      <c r="C145" s="11">
        <v>41782</v>
      </c>
      <c r="D145" s="12">
        <f t="shared" si="2"/>
        <v>2</v>
      </c>
      <c r="E145" s="1">
        <v>246</v>
      </c>
      <c r="F145" s="1">
        <v>238</v>
      </c>
      <c r="G145" s="19">
        <v>333.5</v>
      </c>
      <c r="H145" s="13" t="s">
        <v>28</v>
      </c>
      <c r="I145" s="1">
        <v>4</v>
      </c>
      <c r="J145" s="6">
        <v>27.5</v>
      </c>
      <c r="K145" s="1">
        <v>2</v>
      </c>
      <c r="L145" s="29"/>
      <c r="O145" s="3"/>
    </row>
    <row r="146" spans="1:15" x14ac:dyDescent="0.3">
      <c r="A146" s="1" t="s">
        <v>148</v>
      </c>
      <c r="B146" s="1" t="s">
        <v>9</v>
      </c>
      <c r="C146" s="11">
        <v>41775</v>
      </c>
      <c r="D146" s="12">
        <f t="shared" si="2"/>
        <v>2</v>
      </c>
      <c r="E146" s="1">
        <v>230</v>
      </c>
      <c r="F146" s="1">
        <v>200</v>
      </c>
      <c r="G146" s="19">
        <v>272.63</v>
      </c>
      <c r="H146" s="13" t="s">
        <v>10</v>
      </c>
      <c r="I146" s="1">
        <v>4</v>
      </c>
      <c r="J146" s="6">
        <v>12.8</v>
      </c>
      <c r="K146" s="1">
        <v>0</v>
      </c>
      <c r="L146" s="29"/>
      <c r="O146" s="3"/>
    </row>
    <row r="147" spans="1:15" x14ac:dyDescent="0.3">
      <c r="A147" s="1" t="s">
        <v>148</v>
      </c>
      <c r="B147" s="1" t="s">
        <v>9</v>
      </c>
      <c r="C147" s="11">
        <v>41782</v>
      </c>
      <c r="D147" s="12">
        <f t="shared" si="2"/>
        <v>2</v>
      </c>
      <c r="E147" s="1">
        <v>251</v>
      </c>
      <c r="F147" s="1">
        <v>232</v>
      </c>
      <c r="G147" s="19">
        <v>329.5</v>
      </c>
      <c r="H147" s="13" t="s">
        <v>28</v>
      </c>
      <c r="I147" s="1">
        <v>4</v>
      </c>
      <c r="J147" s="6">
        <v>28</v>
      </c>
      <c r="K147" s="1">
        <v>1</v>
      </c>
      <c r="L147" s="29"/>
      <c r="O147" s="3"/>
    </row>
    <row r="148" spans="1:15" x14ac:dyDescent="0.3">
      <c r="A148" s="1" t="s">
        <v>149</v>
      </c>
      <c r="B148" s="1" t="s">
        <v>9</v>
      </c>
      <c r="C148" s="11">
        <v>41782</v>
      </c>
      <c r="D148" s="12">
        <f t="shared" si="2"/>
        <v>2</v>
      </c>
      <c r="E148" s="1">
        <v>225</v>
      </c>
      <c r="F148" s="1">
        <v>195</v>
      </c>
      <c r="G148" s="19">
        <v>294.10000000000002</v>
      </c>
      <c r="H148" s="13" t="s">
        <v>10</v>
      </c>
      <c r="I148" s="1">
        <v>4</v>
      </c>
      <c r="J148" s="6">
        <v>14.7</v>
      </c>
      <c r="K148" s="1">
        <v>1</v>
      </c>
      <c r="L148" s="29"/>
      <c r="O148" s="3"/>
    </row>
    <row r="149" spans="1:15" x14ac:dyDescent="0.3">
      <c r="A149" s="1" t="s">
        <v>149</v>
      </c>
      <c r="B149" s="1" t="s">
        <v>9</v>
      </c>
      <c r="C149" s="11">
        <v>41775</v>
      </c>
      <c r="D149" s="12">
        <f t="shared" si="2"/>
        <v>2</v>
      </c>
      <c r="E149" s="1">
        <v>250</v>
      </c>
      <c r="F149" s="1">
        <v>205</v>
      </c>
      <c r="G149" s="19">
        <v>304.43</v>
      </c>
      <c r="H149" s="13" t="s">
        <v>28</v>
      </c>
      <c r="I149" s="1">
        <v>5</v>
      </c>
      <c r="J149" s="6">
        <v>17.87</v>
      </c>
      <c r="K149" s="1">
        <v>1</v>
      </c>
      <c r="L149" s="29"/>
      <c r="O149" s="3"/>
    </row>
    <row r="150" spans="1:15" x14ac:dyDescent="0.3">
      <c r="A150" s="1" t="s">
        <v>150</v>
      </c>
      <c r="B150" s="1" t="s">
        <v>9</v>
      </c>
      <c r="C150" s="11">
        <v>41775</v>
      </c>
      <c r="D150" s="12">
        <f t="shared" si="2"/>
        <v>2</v>
      </c>
      <c r="E150" s="1">
        <v>260</v>
      </c>
      <c r="F150" s="1">
        <v>235</v>
      </c>
      <c r="G150" s="19">
        <v>346.5</v>
      </c>
      <c r="H150" s="13" t="s">
        <v>10</v>
      </c>
      <c r="I150" s="1">
        <v>5</v>
      </c>
      <c r="J150" s="6">
        <v>23.5</v>
      </c>
      <c r="K150" s="1">
        <v>1</v>
      </c>
      <c r="L150" s="29"/>
      <c r="O150" s="3"/>
    </row>
    <row r="151" spans="1:15" x14ac:dyDescent="0.3">
      <c r="A151" s="1" t="s">
        <v>150</v>
      </c>
      <c r="B151" s="1" t="s">
        <v>9</v>
      </c>
      <c r="C151" s="11">
        <v>41758</v>
      </c>
      <c r="D151" s="12">
        <f t="shared" si="2"/>
        <v>2</v>
      </c>
      <c r="E151" s="1">
        <v>277</v>
      </c>
      <c r="F151" s="1">
        <v>252</v>
      </c>
      <c r="G151" s="19">
        <v>477.5</v>
      </c>
      <c r="H151" s="13" t="s">
        <v>10</v>
      </c>
      <c r="I151" s="1">
        <v>4</v>
      </c>
      <c r="J151" s="6">
        <v>4.5</v>
      </c>
      <c r="K151" s="1">
        <v>2</v>
      </c>
      <c r="L151" s="29"/>
      <c r="O151" s="3"/>
    </row>
    <row r="152" spans="1:15" x14ac:dyDescent="0.3">
      <c r="A152" s="1" t="s">
        <v>151</v>
      </c>
      <c r="B152" s="1" t="s">
        <v>9</v>
      </c>
      <c r="C152" s="11">
        <v>41758</v>
      </c>
      <c r="D152" s="12">
        <f t="shared" si="2"/>
        <v>2</v>
      </c>
      <c r="E152" s="1">
        <v>234</v>
      </c>
      <c r="F152" s="1">
        <v>219</v>
      </c>
      <c r="G152" s="19">
        <v>281</v>
      </c>
      <c r="H152" s="13" t="s">
        <v>28</v>
      </c>
      <c r="I152" s="1">
        <v>2</v>
      </c>
      <c r="J152" s="6">
        <v>1.5</v>
      </c>
      <c r="K152" s="1">
        <v>2</v>
      </c>
      <c r="L152" s="29"/>
      <c r="O152" s="3"/>
    </row>
    <row r="153" spans="1:15" x14ac:dyDescent="0.3">
      <c r="A153" s="1" t="s">
        <v>151</v>
      </c>
      <c r="B153" s="1" t="s">
        <v>9</v>
      </c>
      <c r="C153" s="11">
        <v>41662</v>
      </c>
      <c r="D153" s="12">
        <f t="shared" si="2"/>
        <v>1</v>
      </c>
      <c r="E153" s="1">
        <v>260</v>
      </c>
      <c r="F153" s="1">
        <v>245</v>
      </c>
      <c r="G153" s="19">
        <v>398.86</v>
      </c>
      <c r="H153" s="13" t="s">
        <v>10</v>
      </c>
      <c r="I153" s="1">
        <v>4</v>
      </c>
      <c r="J153" s="6">
        <v>4.9000000000000004</v>
      </c>
      <c r="K153" s="1">
        <v>2</v>
      </c>
      <c r="L153" s="29"/>
      <c r="O153" s="3"/>
    </row>
    <row r="154" spans="1:15" x14ac:dyDescent="0.3">
      <c r="A154" s="1" t="s">
        <v>152</v>
      </c>
      <c r="B154" s="1" t="s">
        <v>9</v>
      </c>
      <c r="C154" s="11">
        <v>41652</v>
      </c>
      <c r="D154" s="12">
        <f t="shared" si="2"/>
        <v>1</v>
      </c>
      <c r="E154" s="1">
        <v>208</v>
      </c>
      <c r="F154" s="1">
        <v>187</v>
      </c>
      <c r="G154" s="19">
        <v>269</v>
      </c>
      <c r="H154" s="13" t="s">
        <v>28</v>
      </c>
      <c r="I154" s="1">
        <v>2</v>
      </c>
      <c r="J154" s="6">
        <v>0.5</v>
      </c>
      <c r="K154" s="1">
        <v>3</v>
      </c>
      <c r="L154" s="29"/>
      <c r="O154" s="3"/>
    </row>
    <row r="155" spans="1:15" x14ac:dyDescent="0.3">
      <c r="A155" s="1" t="s">
        <v>152</v>
      </c>
      <c r="B155" s="1" t="s">
        <v>9</v>
      </c>
      <c r="C155" s="11">
        <v>41662</v>
      </c>
      <c r="D155" s="12">
        <f t="shared" si="2"/>
        <v>1</v>
      </c>
      <c r="E155" s="1">
        <v>240</v>
      </c>
      <c r="F155" s="1">
        <v>210</v>
      </c>
      <c r="G155" s="19">
        <v>324.3</v>
      </c>
      <c r="H155" s="13" t="s">
        <v>10</v>
      </c>
      <c r="I155" s="1">
        <v>3</v>
      </c>
      <c r="J155" s="6">
        <v>3.2</v>
      </c>
      <c r="K155" s="1">
        <v>2</v>
      </c>
      <c r="L155" s="29"/>
      <c r="O155" s="3"/>
    </row>
    <row r="156" spans="1:15" x14ac:dyDescent="0.3">
      <c r="A156" s="1" t="s">
        <v>153</v>
      </c>
      <c r="B156" s="1" t="s">
        <v>9</v>
      </c>
      <c r="C156" s="11">
        <v>41846</v>
      </c>
      <c r="D156" s="12">
        <f t="shared" si="2"/>
        <v>3</v>
      </c>
      <c r="E156" s="1">
        <v>190</v>
      </c>
      <c r="F156" s="1">
        <v>160</v>
      </c>
      <c r="G156" s="19">
        <v>126.5</v>
      </c>
      <c r="H156" s="13" t="s">
        <v>28</v>
      </c>
      <c r="I156" s="1">
        <v>2</v>
      </c>
      <c r="J156" s="6">
        <v>0.08</v>
      </c>
      <c r="K156" s="1">
        <v>2</v>
      </c>
      <c r="L156" s="29"/>
      <c r="O156" s="3"/>
    </row>
    <row r="157" spans="1:15" x14ac:dyDescent="0.3">
      <c r="A157" s="1" t="s">
        <v>153</v>
      </c>
      <c r="B157" s="1" t="s">
        <v>9</v>
      </c>
      <c r="C157" s="11">
        <v>41652</v>
      </c>
      <c r="D157" s="12">
        <f t="shared" si="2"/>
        <v>1</v>
      </c>
      <c r="E157" s="1">
        <v>225</v>
      </c>
      <c r="F157" s="1">
        <v>210</v>
      </c>
      <c r="G157" s="19">
        <v>261</v>
      </c>
      <c r="H157" s="13" t="s">
        <v>28</v>
      </c>
      <c r="I157" s="1">
        <v>2</v>
      </c>
      <c r="J157" s="6">
        <v>0.4</v>
      </c>
      <c r="K157" s="1">
        <v>1</v>
      </c>
      <c r="L157" s="29"/>
      <c r="O157" s="3"/>
    </row>
    <row r="158" spans="1:15" x14ac:dyDescent="0.3">
      <c r="A158" s="1" t="s">
        <v>154</v>
      </c>
      <c r="B158" s="1" t="s">
        <v>9</v>
      </c>
      <c r="C158" s="11">
        <v>41652</v>
      </c>
      <c r="D158" s="12">
        <f t="shared" si="2"/>
        <v>1</v>
      </c>
      <c r="E158" s="1">
        <v>199</v>
      </c>
      <c r="F158" s="1">
        <v>185</v>
      </c>
      <c r="G158" s="19">
        <v>169.5</v>
      </c>
      <c r="H158" s="13" t="s">
        <v>10</v>
      </c>
      <c r="I158" s="1">
        <v>2</v>
      </c>
      <c r="J158" s="6">
        <v>0.5</v>
      </c>
      <c r="K158" s="1">
        <v>2</v>
      </c>
      <c r="L158" s="29"/>
      <c r="O158" s="3"/>
    </row>
    <row r="159" spans="1:15" x14ac:dyDescent="0.3">
      <c r="A159" s="1" t="s">
        <v>154</v>
      </c>
      <c r="B159" s="1" t="s">
        <v>9</v>
      </c>
      <c r="C159" s="11">
        <v>41662</v>
      </c>
      <c r="D159" s="12">
        <f t="shared" si="2"/>
        <v>1</v>
      </c>
      <c r="E159" s="1">
        <v>320</v>
      </c>
      <c r="F159" s="1">
        <v>285</v>
      </c>
      <c r="G159" s="19">
        <v>646</v>
      </c>
      <c r="H159" s="13" t="s">
        <v>28</v>
      </c>
      <c r="I159" s="1">
        <v>4</v>
      </c>
      <c r="J159" s="6">
        <v>1.32</v>
      </c>
      <c r="K159" s="1">
        <v>2</v>
      </c>
      <c r="L159" s="29"/>
      <c r="O159" s="3"/>
    </row>
    <row r="160" spans="1:15" x14ac:dyDescent="0.3">
      <c r="A160" s="1" t="s">
        <v>155</v>
      </c>
      <c r="B160" s="1" t="s">
        <v>9</v>
      </c>
      <c r="C160" s="11">
        <v>41662</v>
      </c>
      <c r="D160" s="12">
        <f t="shared" si="2"/>
        <v>1</v>
      </c>
      <c r="E160" s="1">
        <v>180</v>
      </c>
      <c r="F160" s="1">
        <v>172</v>
      </c>
      <c r="G160" s="19">
        <v>158</v>
      </c>
      <c r="H160" s="13" t="s">
        <v>28</v>
      </c>
      <c r="I160" s="1">
        <v>1</v>
      </c>
      <c r="J160" s="6">
        <v>0.34</v>
      </c>
      <c r="K160" s="1">
        <v>2</v>
      </c>
      <c r="L160" s="29"/>
      <c r="O160" s="3"/>
    </row>
    <row r="161" spans="1:15" x14ac:dyDescent="0.3">
      <c r="A161" s="1" t="s">
        <v>155</v>
      </c>
      <c r="B161" s="1" t="s">
        <v>9</v>
      </c>
      <c r="C161" s="11">
        <v>41647</v>
      </c>
      <c r="D161" s="12">
        <f t="shared" si="2"/>
        <v>1</v>
      </c>
      <c r="E161" s="1">
        <v>248</v>
      </c>
      <c r="F161" s="1">
        <v>230</v>
      </c>
      <c r="G161" s="19">
        <v>310.8</v>
      </c>
      <c r="H161" s="13" t="s">
        <v>10</v>
      </c>
      <c r="I161" s="1">
        <v>2</v>
      </c>
      <c r="J161" s="6">
        <v>3.3</v>
      </c>
      <c r="K161" s="1">
        <v>1</v>
      </c>
      <c r="L161" s="29"/>
      <c r="O161" s="3"/>
    </row>
    <row r="162" spans="1:15" x14ac:dyDescent="0.3">
      <c r="A162" s="1" t="s">
        <v>156</v>
      </c>
      <c r="B162" s="1" t="s">
        <v>9</v>
      </c>
      <c r="C162" s="11">
        <v>41647</v>
      </c>
      <c r="D162" s="12">
        <f t="shared" si="2"/>
        <v>1</v>
      </c>
      <c r="E162" s="1">
        <v>245</v>
      </c>
      <c r="F162" s="1">
        <v>230</v>
      </c>
      <c r="G162" s="19">
        <v>317.5</v>
      </c>
      <c r="H162" s="13" t="s">
        <v>10</v>
      </c>
      <c r="I162" s="1">
        <v>3</v>
      </c>
      <c r="J162" s="6">
        <v>4.7</v>
      </c>
      <c r="K162" s="1">
        <v>1</v>
      </c>
      <c r="L162" s="29"/>
      <c r="O162" s="3"/>
    </row>
    <row r="163" spans="1:15" x14ac:dyDescent="0.3">
      <c r="A163" s="1" t="s">
        <v>156</v>
      </c>
      <c r="B163" s="1" t="s">
        <v>9</v>
      </c>
      <c r="C163" s="11">
        <v>41662</v>
      </c>
      <c r="D163" s="12">
        <f t="shared" si="2"/>
        <v>1</v>
      </c>
      <c r="E163" s="1">
        <v>257</v>
      </c>
      <c r="F163" s="1">
        <v>235</v>
      </c>
      <c r="G163" s="19">
        <v>354.5</v>
      </c>
      <c r="H163" s="13" t="s">
        <v>10</v>
      </c>
      <c r="I163" s="1">
        <v>2</v>
      </c>
      <c r="J163" s="6">
        <v>2.5</v>
      </c>
      <c r="K163" s="1">
        <v>2</v>
      </c>
      <c r="L163" s="29"/>
      <c r="O163" s="3"/>
    </row>
    <row r="164" spans="1:15" x14ac:dyDescent="0.3">
      <c r="A164" s="1" t="s">
        <v>157</v>
      </c>
      <c r="B164" s="1" t="s">
        <v>9</v>
      </c>
      <c r="C164" s="11">
        <v>42211</v>
      </c>
      <c r="D164" s="12">
        <f t="shared" si="2"/>
        <v>3</v>
      </c>
      <c r="E164" s="1">
        <v>165</v>
      </c>
      <c r="F164" s="1">
        <v>146</v>
      </c>
      <c r="G164" s="19">
        <v>83</v>
      </c>
      <c r="H164" s="13" t="s">
        <v>28</v>
      </c>
      <c r="I164" s="1">
        <v>1</v>
      </c>
      <c r="J164" s="6">
        <v>0.2</v>
      </c>
      <c r="K164" s="1">
        <v>1</v>
      </c>
      <c r="L164" s="29"/>
      <c r="O164" s="3"/>
    </row>
    <row r="165" spans="1:15" x14ac:dyDescent="0.3">
      <c r="A165" s="1" t="s">
        <v>157</v>
      </c>
      <c r="B165" s="1" t="s">
        <v>9</v>
      </c>
      <c r="C165" s="11">
        <v>41727</v>
      </c>
      <c r="D165" s="12">
        <f t="shared" si="2"/>
        <v>1</v>
      </c>
      <c r="E165" s="1">
        <v>260</v>
      </c>
      <c r="F165" s="1">
        <v>241</v>
      </c>
      <c r="G165" s="19">
        <v>451.5</v>
      </c>
      <c r="H165" s="13" t="s">
        <v>10</v>
      </c>
      <c r="I165" s="1">
        <v>4</v>
      </c>
      <c r="J165" s="6">
        <v>22.2</v>
      </c>
      <c r="K165" s="1">
        <v>2</v>
      </c>
      <c r="L165" s="29"/>
      <c r="O165" s="3"/>
    </row>
    <row r="166" spans="1:15" x14ac:dyDescent="0.3">
      <c r="A166" s="1" t="s">
        <v>158</v>
      </c>
      <c r="B166" s="1" t="s">
        <v>9</v>
      </c>
      <c r="C166" s="11">
        <v>42211</v>
      </c>
      <c r="D166" s="12">
        <f t="shared" si="2"/>
        <v>3</v>
      </c>
      <c r="E166" s="1">
        <v>181</v>
      </c>
      <c r="F166" s="1">
        <v>174</v>
      </c>
      <c r="G166" s="19">
        <v>139.5</v>
      </c>
      <c r="H166" s="13" t="s">
        <v>10</v>
      </c>
      <c r="I166" s="1">
        <v>1</v>
      </c>
      <c r="J166" s="6">
        <v>0.5</v>
      </c>
      <c r="K166" s="1">
        <v>2</v>
      </c>
      <c r="L166" s="29"/>
      <c r="O166" s="3"/>
    </row>
    <row r="167" spans="1:15" x14ac:dyDescent="0.3">
      <c r="A167" s="1" t="s">
        <v>158</v>
      </c>
      <c r="B167" s="1" t="s">
        <v>9</v>
      </c>
      <c r="C167" s="11">
        <v>41727</v>
      </c>
      <c r="D167" s="12">
        <f t="shared" si="2"/>
        <v>1</v>
      </c>
      <c r="E167" s="1">
        <v>235</v>
      </c>
      <c r="F167" s="1">
        <v>230</v>
      </c>
      <c r="G167" s="19">
        <v>384.5</v>
      </c>
      <c r="H167" s="13" t="s">
        <v>10</v>
      </c>
      <c r="I167" s="1">
        <v>4</v>
      </c>
      <c r="J167" s="6">
        <v>16</v>
      </c>
      <c r="K167" s="1">
        <v>1</v>
      </c>
      <c r="L167" s="29"/>
      <c r="O167" s="3"/>
    </row>
    <row r="168" spans="1:15" x14ac:dyDescent="0.3">
      <c r="A168" s="1" t="s">
        <v>159</v>
      </c>
      <c r="B168" s="1" t="s">
        <v>9</v>
      </c>
      <c r="C168" s="11">
        <v>42211</v>
      </c>
      <c r="D168" s="12">
        <f t="shared" si="2"/>
        <v>3</v>
      </c>
      <c r="E168" s="1">
        <v>190</v>
      </c>
      <c r="F168" s="1">
        <v>173</v>
      </c>
      <c r="G168" s="19">
        <v>142</v>
      </c>
      <c r="H168" s="13" t="s">
        <v>10</v>
      </c>
      <c r="I168" s="1">
        <v>2</v>
      </c>
      <c r="J168" s="6">
        <v>0.2</v>
      </c>
      <c r="K168" s="1">
        <v>2</v>
      </c>
      <c r="L168" s="29"/>
      <c r="O168" s="3"/>
    </row>
    <row r="169" spans="1:15" x14ac:dyDescent="0.3">
      <c r="A169" s="1" t="s">
        <v>159</v>
      </c>
      <c r="B169" s="1" t="s">
        <v>9</v>
      </c>
      <c r="C169" s="11">
        <v>41727</v>
      </c>
      <c r="D169" s="12">
        <f t="shared" si="2"/>
        <v>1</v>
      </c>
      <c r="E169" s="1">
        <v>216</v>
      </c>
      <c r="F169" s="1">
        <v>209</v>
      </c>
      <c r="G169" s="19">
        <v>228</v>
      </c>
      <c r="H169" s="13" t="s">
        <v>28</v>
      </c>
      <c r="I169" s="1">
        <v>4</v>
      </c>
      <c r="J169" s="6">
        <v>18</v>
      </c>
      <c r="K169" s="1">
        <v>1</v>
      </c>
      <c r="L169" s="29"/>
      <c r="O169" s="3"/>
    </row>
    <row r="170" spans="1:15" x14ac:dyDescent="0.3">
      <c r="A170" s="1" t="s">
        <v>159</v>
      </c>
      <c r="B170" s="1" t="s">
        <v>9</v>
      </c>
      <c r="C170" s="11">
        <v>41662</v>
      </c>
      <c r="D170" s="12">
        <f t="shared" si="2"/>
        <v>1</v>
      </c>
      <c r="E170" s="1">
        <v>231</v>
      </c>
      <c r="F170" s="1">
        <v>211</v>
      </c>
      <c r="G170" s="19">
        <v>267.5</v>
      </c>
      <c r="H170" s="13" t="s">
        <v>10</v>
      </c>
      <c r="I170" s="1">
        <v>3</v>
      </c>
      <c r="J170" s="6">
        <v>3</v>
      </c>
      <c r="K170" s="1">
        <v>2</v>
      </c>
      <c r="L170" s="29"/>
      <c r="O170" s="3"/>
    </row>
    <row r="171" spans="1:15" x14ac:dyDescent="0.3">
      <c r="A171" s="1" t="s">
        <v>160</v>
      </c>
      <c r="B171" s="1" t="s">
        <v>9</v>
      </c>
      <c r="C171" s="11">
        <v>42211</v>
      </c>
      <c r="D171" s="12">
        <f t="shared" si="2"/>
        <v>3</v>
      </c>
      <c r="E171" s="1">
        <v>177</v>
      </c>
      <c r="F171" s="1">
        <v>168</v>
      </c>
      <c r="G171" s="19">
        <v>127</v>
      </c>
      <c r="H171" s="13" t="s">
        <v>28</v>
      </c>
      <c r="I171" s="1">
        <v>1</v>
      </c>
      <c r="J171" s="6">
        <v>0.33</v>
      </c>
      <c r="K171" s="1">
        <v>2</v>
      </c>
      <c r="L171" s="29"/>
      <c r="O171" s="3"/>
    </row>
    <row r="172" spans="1:15" x14ac:dyDescent="0.3">
      <c r="A172" s="1" t="s">
        <v>160</v>
      </c>
      <c r="B172" s="1" t="s">
        <v>9</v>
      </c>
      <c r="C172" s="11">
        <v>41662</v>
      </c>
      <c r="D172" s="12">
        <f t="shared" si="2"/>
        <v>1</v>
      </c>
      <c r="E172" s="1">
        <v>231</v>
      </c>
      <c r="F172" s="1">
        <v>211</v>
      </c>
      <c r="G172" s="19">
        <v>267.5</v>
      </c>
      <c r="H172" s="13" t="s">
        <v>10</v>
      </c>
      <c r="I172" s="1">
        <v>3</v>
      </c>
      <c r="J172" s="6">
        <v>3</v>
      </c>
      <c r="K172" s="1">
        <v>2</v>
      </c>
      <c r="L172" s="29"/>
      <c r="O172" s="3"/>
    </row>
    <row r="173" spans="1:15" x14ac:dyDescent="0.3">
      <c r="A173" s="1" t="s">
        <v>161</v>
      </c>
      <c r="B173" s="1" t="s">
        <v>9</v>
      </c>
      <c r="C173" s="11">
        <v>42211</v>
      </c>
      <c r="D173" s="12">
        <f t="shared" si="2"/>
        <v>3</v>
      </c>
      <c r="E173" s="1">
        <v>183</v>
      </c>
      <c r="F173" s="1">
        <v>164</v>
      </c>
      <c r="G173" s="19">
        <v>128.58000000000001</v>
      </c>
      <c r="H173" s="13" t="s">
        <v>10</v>
      </c>
      <c r="I173" s="1">
        <v>2</v>
      </c>
      <c r="J173" s="6">
        <v>0.28999999999999998</v>
      </c>
      <c r="K173" s="1">
        <v>2</v>
      </c>
      <c r="L173" s="29"/>
      <c r="O173" s="3"/>
    </row>
    <row r="174" spans="1:15" x14ac:dyDescent="0.3">
      <c r="A174" s="1" t="s">
        <v>161</v>
      </c>
      <c r="B174" s="1" t="s">
        <v>9</v>
      </c>
      <c r="C174" s="11">
        <v>41662</v>
      </c>
      <c r="D174" s="12">
        <f t="shared" si="2"/>
        <v>1</v>
      </c>
      <c r="E174" s="1">
        <v>234</v>
      </c>
      <c r="F174" s="1">
        <v>223</v>
      </c>
      <c r="G174" s="19">
        <v>327</v>
      </c>
      <c r="H174" s="13" t="s">
        <v>10</v>
      </c>
      <c r="I174" s="1">
        <v>2</v>
      </c>
      <c r="J174" s="6">
        <v>4.5</v>
      </c>
      <c r="K174" s="1">
        <v>1</v>
      </c>
      <c r="L174" s="29"/>
      <c r="O174" s="3"/>
    </row>
    <row r="175" spans="1:15" x14ac:dyDescent="0.3">
      <c r="A175" s="1" t="s">
        <v>162</v>
      </c>
      <c r="B175" s="1" t="s">
        <v>9</v>
      </c>
      <c r="C175" s="11">
        <v>42211</v>
      </c>
      <c r="D175" s="12">
        <f t="shared" si="2"/>
        <v>3</v>
      </c>
      <c r="E175" s="1">
        <v>196</v>
      </c>
      <c r="F175" s="1">
        <v>176</v>
      </c>
      <c r="G175" s="19">
        <v>153.56</v>
      </c>
      <c r="H175" s="13" t="s">
        <v>28</v>
      </c>
      <c r="I175" s="1">
        <v>1</v>
      </c>
      <c r="J175" s="6">
        <v>0.14000000000000001</v>
      </c>
      <c r="K175" s="1">
        <v>2</v>
      </c>
      <c r="L175" s="29"/>
      <c r="O175" s="3"/>
    </row>
    <row r="176" spans="1:15" x14ac:dyDescent="0.3">
      <c r="A176" s="1" t="s">
        <v>163</v>
      </c>
      <c r="B176" s="1" t="s">
        <v>9</v>
      </c>
      <c r="C176" s="11">
        <v>42211</v>
      </c>
      <c r="D176" s="12">
        <f t="shared" si="2"/>
        <v>3</v>
      </c>
      <c r="E176" s="1">
        <v>188</v>
      </c>
      <c r="F176" s="1">
        <v>167</v>
      </c>
      <c r="G176" s="19">
        <v>119.5</v>
      </c>
      <c r="H176" s="13" t="s">
        <v>10</v>
      </c>
      <c r="I176" s="1">
        <v>2</v>
      </c>
      <c r="J176" s="6">
        <v>0.27</v>
      </c>
      <c r="K176" s="1">
        <v>2</v>
      </c>
      <c r="L176" s="29"/>
      <c r="O176" s="3"/>
    </row>
    <row r="177" spans="1:15" x14ac:dyDescent="0.3">
      <c r="A177" s="1" t="s">
        <v>163</v>
      </c>
      <c r="B177" s="1" t="s">
        <v>9</v>
      </c>
      <c r="C177" s="11">
        <v>41727</v>
      </c>
      <c r="D177" s="12">
        <f t="shared" si="2"/>
        <v>1</v>
      </c>
      <c r="E177" s="1">
        <v>275</v>
      </c>
      <c r="F177" s="1">
        <v>250</v>
      </c>
      <c r="G177" s="19">
        <v>372</v>
      </c>
      <c r="H177" s="13" t="s">
        <v>28</v>
      </c>
      <c r="I177" s="1">
        <v>5</v>
      </c>
      <c r="J177" s="6">
        <v>23</v>
      </c>
      <c r="K177" s="1">
        <v>2</v>
      </c>
      <c r="L177" s="29"/>
      <c r="O177" s="3"/>
    </row>
    <row r="178" spans="1:15" x14ac:dyDescent="0.3">
      <c r="A178" s="1" t="s">
        <v>164</v>
      </c>
      <c r="B178" s="1" t="s">
        <v>9</v>
      </c>
      <c r="C178" s="11">
        <v>41662</v>
      </c>
      <c r="D178" s="12">
        <f t="shared" si="2"/>
        <v>1</v>
      </c>
      <c r="E178" s="1">
        <v>196</v>
      </c>
      <c r="F178" s="1">
        <v>174</v>
      </c>
      <c r="G178" s="19">
        <v>150</v>
      </c>
      <c r="H178" s="13" t="s">
        <v>10</v>
      </c>
      <c r="I178" s="1">
        <v>1</v>
      </c>
      <c r="J178" s="6">
        <v>0.5</v>
      </c>
      <c r="K178" s="1">
        <v>1</v>
      </c>
      <c r="L178" s="29"/>
      <c r="O178" s="3"/>
    </row>
    <row r="179" spans="1:15" x14ac:dyDescent="0.3">
      <c r="A179" s="1" t="s">
        <v>164</v>
      </c>
      <c r="B179" s="1" t="s">
        <v>9</v>
      </c>
      <c r="C179" s="11">
        <v>41727</v>
      </c>
      <c r="D179" s="12">
        <f t="shared" si="2"/>
        <v>1</v>
      </c>
      <c r="E179" s="1">
        <v>257</v>
      </c>
      <c r="F179" s="1">
        <v>214</v>
      </c>
      <c r="G179" s="19">
        <v>311</v>
      </c>
      <c r="H179" s="13" t="s">
        <v>28</v>
      </c>
      <c r="I179" s="1">
        <v>5</v>
      </c>
      <c r="J179" s="6">
        <v>17</v>
      </c>
      <c r="K179" s="1">
        <v>2</v>
      </c>
      <c r="L179" s="29"/>
      <c r="O179" s="3"/>
    </row>
    <row r="180" spans="1:15" x14ac:dyDescent="0.3">
      <c r="A180" s="1" t="s">
        <v>164</v>
      </c>
      <c r="B180" s="1" t="s">
        <v>9</v>
      </c>
      <c r="C180" s="11">
        <v>41846</v>
      </c>
      <c r="D180" s="12">
        <f t="shared" si="2"/>
        <v>3</v>
      </c>
      <c r="E180" s="1">
        <v>260</v>
      </c>
      <c r="F180" s="1">
        <v>230</v>
      </c>
      <c r="G180" s="19">
        <v>367</v>
      </c>
      <c r="H180" s="13" t="s">
        <v>10</v>
      </c>
      <c r="I180" s="1">
        <v>3</v>
      </c>
      <c r="J180" s="6">
        <v>20.91</v>
      </c>
      <c r="K180" s="1">
        <v>1</v>
      </c>
      <c r="L180" s="29"/>
      <c r="O180" s="3"/>
    </row>
    <row r="181" spans="1:15" x14ac:dyDescent="0.3">
      <c r="A181" s="1" t="s">
        <v>165</v>
      </c>
      <c r="B181" s="1" t="s">
        <v>9</v>
      </c>
      <c r="C181" s="11">
        <v>42211</v>
      </c>
      <c r="D181" s="12">
        <f t="shared" si="2"/>
        <v>3</v>
      </c>
      <c r="E181" s="1">
        <v>185</v>
      </c>
      <c r="F181" s="1">
        <v>165</v>
      </c>
      <c r="G181" s="19">
        <v>135.5</v>
      </c>
      <c r="H181" s="13" t="s">
        <v>28</v>
      </c>
      <c r="I181" s="1">
        <v>2</v>
      </c>
      <c r="J181" s="6">
        <v>0.25</v>
      </c>
      <c r="K181" s="1">
        <v>3</v>
      </c>
      <c r="L181" s="29"/>
      <c r="O181" s="3"/>
    </row>
    <row r="182" spans="1:15" x14ac:dyDescent="0.3">
      <c r="A182" s="1" t="s">
        <v>166</v>
      </c>
      <c r="B182" s="1" t="s">
        <v>9</v>
      </c>
      <c r="C182" s="11">
        <v>42212</v>
      </c>
      <c r="D182" s="12">
        <f t="shared" si="2"/>
        <v>3</v>
      </c>
      <c r="E182" s="1">
        <v>180</v>
      </c>
      <c r="F182" s="1">
        <v>162</v>
      </c>
      <c r="G182" s="19">
        <v>122</v>
      </c>
      <c r="H182" s="13" t="s">
        <v>28</v>
      </c>
      <c r="I182" s="1">
        <v>2</v>
      </c>
      <c r="J182" s="6">
        <v>2.8</v>
      </c>
      <c r="K182" s="1">
        <v>2</v>
      </c>
      <c r="L182" s="29"/>
      <c r="O182" s="3"/>
    </row>
    <row r="183" spans="1:15" x14ac:dyDescent="0.3">
      <c r="A183" s="1" t="s">
        <v>166</v>
      </c>
      <c r="B183" s="1" t="s">
        <v>9</v>
      </c>
      <c r="C183" s="11">
        <v>41727</v>
      </c>
      <c r="D183" s="12">
        <f t="shared" si="2"/>
        <v>1</v>
      </c>
      <c r="E183" s="1">
        <v>255</v>
      </c>
      <c r="F183" s="1">
        <v>233</v>
      </c>
      <c r="G183" s="19">
        <v>362.5</v>
      </c>
      <c r="H183" s="13" t="s">
        <v>10</v>
      </c>
      <c r="I183" s="1">
        <v>4</v>
      </c>
      <c r="J183" s="6">
        <v>16.5</v>
      </c>
      <c r="K183" s="1">
        <v>1</v>
      </c>
      <c r="L183" s="29"/>
      <c r="O183" s="3"/>
    </row>
    <row r="184" spans="1:15" x14ac:dyDescent="0.3">
      <c r="A184" s="1" t="s">
        <v>167</v>
      </c>
      <c r="B184" s="1" t="s">
        <v>9</v>
      </c>
      <c r="C184" s="11">
        <v>42211</v>
      </c>
      <c r="D184" s="12">
        <f t="shared" si="2"/>
        <v>3</v>
      </c>
      <c r="E184" s="1">
        <v>232</v>
      </c>
      <c r="F184" s="1">
        <v>218</v>
      </c>
      <c r="G184" s="19">
        <v>305.8</v>
      </c>
      <c r="H184" s="13" t="s">
        <v>28</v>
      </c>
      <c r="I184" s="1">
        <v>5</v>
      </c>
      <c r="J184" s="6">
        <v>15</v>
      </c>
      <c r="K184" s="1">
        <v>1</v>
      </c>
      <c r="L184" s="29"/>
      <c r="O184" s="3"/>
    </row>
    <row r="185" spans="1:15" x14ac:dyDescent="0.3">
      <c r="A185" s="1" t="s">
        <v>167</v>
      </c>
      <c r="B185" s="1" t="s">
        <v>9</v>
      </c>
      <c r="C185" s="11">
        <v>41758</v>
      </c>
      <c r="D185" s="12">
        <f t="shared" si="2"/>
        <v>2</v>
      </c>
      <c r="E185" s="1">
        <v>241</v>
      </c>
      <c r="F185" s="1">
        <v>223</v>
      </c>
      <c r="G185" s="19">
        <v>406.4</v>
      </c>
      <c r="H185" s="13" t="s">
        <v>10</v>
      </c>
      <c r="I185" s="1">
        <v>4</v>
      </c>
      <c r="J185" s="6">
        <v>12.8</v>
      </c>
      <c r="K185" s="1">
        <v>1</v>
      </c>
      <c r="L185" s="29"/>
      <c r="O185" s="3"/>
    </row>
    <row r="186" spans="1:15" x14ac:dyDescent="0.3">
      <c r="A186" s="1" t="s">
        <v>168</v>
      </c>
      <c r="B186" s="1" t="s">
        <v>9</v>
      </c>
      <c r="C186" s="11">
        <v>42211</v>
      </c>
      <c r="D186" s="12">
        <f t="shared" si="2"/>
        <v>3</v>
      </c>
      <c r="E186" s="1">
        <v>187</v>
      </c>
      <c r="G186" s="19">
        <v>134.5</v>
      </c>
      <c r="H186" s="13" t="s">
        <v>28</v>
      </c>
      <c r="I186" s="1">
        <v>7</v>
      </c>
      <c r="J186" s="6">
        <v>0.19</v>
      </c>
      <c r="K186" s="1">
        <v>3</v>
      </c>
      <c r="L186" s="29"/>
      <c r="O186" s="3"/>
    </row>
    <row r="187" spans="1:15" x14ac:dyDescent="0.3">
      <c r="A187" s="1" t="s">
        <v>169</v>
      </c>
      <c r="B187" s="1" t="s">
        <v>9</v>
      </c>
      <c r="C187" s="11">
        <v>41758</v>
      </c>
      <c r="D187" s="12">
        <f t="shared" si="2"/>
        <v>2</v>
      </c>
      <c r="E187" s="1">
        <v>232</v>
      </c>
      <c r="F187" s="1">
        <v>191</v>
      </c>
      <c r="G187" s="19">
        <v>355</v>
      </c>
      <c r="H187" s="13" t="s">
        <v>28</v>
      </c>
      <c r="I187" s="1">
        <v>4</v>
      </c>
      <c r="J187" s="6">
        <v>23.6</v>
      </c>
      <c r="K187" s="1">
        <v>2</v>
      </c>
      <c r="L187" s="29"/>
      <c r="O187" s="3"/>
    </row>
    <row r="188" spans="1:15" x14ac:dyDescent="0.3">
      <c r="A188" s="1" t="s">
        <v>169</v>
      </c>
      <c r="B188" s="1" t="s">
        <v>9</v>
      </c>
      <c r="C188" s="11">
        <v>42211</v>
      </c>
      <c r="D188" s="12">
        <f t="shared" si="2"/>
        <v>3</v>
      </c>
      <c r="E188" s="1">
        <v>297</v>
      </c>
      <c r="F188" s="1">
        <v>270</v>
      </c>
      <c r="G188" s="19">
        <v>572</v>
      </c>
      <c r="H188" s="13" t="s">
        <v>10</v>
      </c>
      <c r="I188" s="1">
        <v>5</v>
      </c>
      <c r="J188" s="6">
        <v>40.68</v>
      </c>
      <c r="K188" s="1">
        <v>0</v>
      </c>
      <c r="L188" s="29"/>
      <c r="O188" s="3"/>
    </row>
    <row r="189" spans="1:15" x14ac:dyDescent="0.3">
      <c r="A189" s="1" t="s">
        <v>170</v>
      </c>
      <c r="B189" s="1" t="s">
        <v>9</v>
      </c>
      <c r="C189" s="11">
        <v>41393</v>
      </c>
      <c r="D189" s="12">
        <f t="shared" si="2"/>
        <v>2</v>
      </c>
      <c r="E189" s="1">
        <v>235</v>
      </c>
      <c r="F189" s="1">
        <v>214</v>
      </c>
      <c r="G189" s="19">
        <v>302</v>
      </c>
      <c r="H189" s="13" t="s">
        <v>10</v>
      </c>
      <c r="I189" s="1">
        <v>4</v>
      </c>
      <c r="J189" s="6">
        <v>14.5</v>
      </c>
      <c r="K189" s="1">
        <v>2</v>
      </c>
      <c r="L189" s="29"/>
      <c r="O189" s="3"/>
    </row>
    <row r="190" spans="1:15" x14ac:dyDescent="0.3">
      <c r="A190" s="1" t="s">
        <v>170</v>
      </c>
      <c r="B190" s="1" t="s">
        <v>9</v>
      </c>
      <c r="C190" s="11">
        <v>42211</v>
      </c>
      <c r="D190" s="12">
        <f t="shared" si="2"/>
        <v>3</v>
      </c>
      <c r="E190" s="1">
        <v>255</v>
      </c>
      <c r="F190" s="1">
        <v>233</v>
      </c>
      <c r="G190" s="19">
        <v>326</v>
      </c>
      <c r="H190" s="13" t="s">
        <v>28</v>
      </c>
      <c r="I190" s="1">
        <v>4</v>
      </c>
      <c r="J190" s="6">
        <v>23.06</v>
      </c>
      <c r="K190" s="1">
        <v>0</v>
      </c>
      <c r="L190" s="29"/>
      <c r="O190" s="3"/>
    </row>
    <row r="191" spans="1:15" x14ac:dyDescent="0.3">
      <c r="A191" s="1" t="s">
        <v>171</v>
      </c>
      <c r="B191" s="1" t="s">
        <v>9</v>
      </c>
      <c r="C191" s="11">
        <v>41662</v>
      </c>
      <c r="D191" s="12">
        <f t="shared" si="2"/>
        <v>1</v>
      </c>
      <c r="E191" s="1">
        <v>250</v>
      </c>
      <c r="F191" s="1">
        <v>225</v>
      </c>
      <c r="G191" s="19">
        <v>318</v>
      </c>
      <c r="H191" s="13" t="s">
        <v>10</v>
      </c>
      <c r="I191" s="1">
        <v>3</v>
      </c>
      <c r="J191" s="6">
        <v>3</v>
      </c>
      <c r="K191" s="1">
        <v>1</v>
      </c>
      <c r="L191" s="29"/>
      <c r="O191" s="3"/>
    </row>
    <row r="192" spans="1:15" x14ac:dyDescent="0.3">
      <c r="A192" s="1" t="s">
        <v>171</v>
      </c>
      <c r="B192" s="1" t="s">
        <v>9</v>
      </c>
      <c r="C192" s="11">
        <v>42211</v>
      </c>
      <c r="D192" s="12">
        <f t="shared" si="2"/>
        <v>3</v>
      </c>
      <c r="E192" s="1">
        <v>275</v>
      </c>
      <c r="F192" s="1">
        <v>240</v>
      </c>
      <c r="G192" s="19">
        <v>398.76</v>
      </c>
      <c r="H192" s="13" t="s">
        <v>10</v>
      </c>
      <c r="I192" s="1">
        <v>5</v>
      </c>
      <c r="J192" s="6">
        <v>23.92</v>
      </c>
      <c r="K192" s="1">
        <v>1</v>
      </c>
      <c r="L192" s="29"/>
      <c r="O192" s="3"/>
    </row>
    <row r="193" spans="1:15" x14ac:dyDescent="0.3">
      <c r="A193" s="1" t="s">
        <v>172</v>
      </c>
      <c r="B193" s="1" t="s">
        <v>9</v>
      </c>
      <c r="C193" s="11">
        <v>42211</v>
      </c>
      <c r="D193" s="12">
        <f t="shared" si="2"/>
        <v>3</v>
      </c>
      <c r="E193" s="1">
        <v>180</v>
      </c>
      <c r="F193" s="1">
        <v>160</v>
      </c>
      <c r="G193" s="19">
        <v>124.05</v>
      </c>
      <c r="H193" s="13" t="s">
        <v>10</v>
      </c>
      <c r="I193" s="1">
        <v>2</v>
      </c>
      <c r="J193" s="6">
        <v>0.14000000000000001</v>
      </c>
      <c r="K193" s="1">
        <v>2</v>
      </c>
      <c r="L193" s="29"/>
      <c r="O193" s="3"/>
    </row>
    <row r="194" spans="1:15" x14ac:dyDescent="0.3">
      <c r="A194" s="1" t="s">
        <v>172</v>
      </c>
      <c r="B194" s="1" t="s">
        <v>9</v>
      </c>
      <c r="C194" s="11">
        <v>41806</v>
      </c>
      <c r="D194" s="12">
        <f t="shared" ref="D194:D257" si="3">ROUNDUP(MONTH(C194)/3,0)</f>
        <v>2</v>
      </c>
      <c r="E194" s="1">
        <v>248</v>
      </c>
      <c r="F194" s="1">
        <v>220</v>
      </c>
      <c r="G194" s="19">
        <v>324.5</v>
      </c>
      <c r="H194" s="13" t="s">
        <v>28</v>
      </c>
      <c r="I194" s="1">
        <v>4</v>
      </c>
      <c r="J194" s="6">
        <v>23</v>
      </c>
      <c r="K194" s="1">
        <v>1</v>
      </c>
      <c r="L194" s="29"/>
      <c r="O194" s="3"/>
    </row>
    <row r="195" spans="1:15" x14ac:dyDescent="0.3">
      <c r="A195" s="1" t="s">
        <v>173</v>
      </c>
      <c r="B195" s="1" t="s">
        <v>9</v>
      </c>
      <c r="C195" s="11">
        <v>42211</v>
      </c>
      <c r="D195" s="12">
        <f t="shared" si="3"/>
        <v>3</v>
      </c>
      <c r="E195" s="1">
        <v>179</v>
      </c>
      <c r="F195" s="1">
        <v>158</v>
      </c>
      <c r="G195" s="19">
        <v>119.36</v>
      </c>
      <c r="H195" s="13" t="s">
        <v>10</v>
      </c>
      <c r="I195" s="1">
        <v>2</v>
      </c>
      <c r="J195" s="6">
        <v>0.97</v>
      </c>
      <c r="K195" s="1">
        <v>1</v>
      </c>
      <c r="L195" s="29"/>
      <c r="O195" s="3"/>
    </row>
    <row r="196" spans="1:15" x14ac:dyDescent="0.3">
      <c r="A196" s="1" t="s">
        <v>173</v>
      </c>
      <c r="B196" s="1" t="s">
        <v>9</v>
      </c>
      <c r="C196" s="11">
        <v>41806</v>
      </c>
      <c r="D196" s="12">
        <f t="shared" si="3"/>
        <v>2</v>
      </c>
      <c r="E196" s="1">
        <v>272</v>
      </c>
      <c r="F196" s="1">
        <v>254</v>
      </c>
      <c r="G196" s="19">
        <v>379</v>
      </c>
      <c r="H196" s="13" t="s">
        <v>28</v>
      </c>
      <c r="I196" s="1">
        <v>4</v>
      </c>
      <c r="J196" s="6">
        <v>28.5</v>
      </c>
      <c r="K196" s="1">
        <v>0</v>
      </c>
      <c r="L196" s="29"/>
      <c r="O196" s="3"/>
    </row>
    <row r="197" spans="1:15" x14ac:dyDescent="0.3">
      <c r="A197" s="1" t="s">
        <v>174</v>
      </c>
      <c r="B197" s="1" t="s">
        <v>9</v>
      </c>
      <c r="C197" s="11">
        <v>42211</v>
      </c>
      <c r="D197" s="12">
        <f t="shared" si="3"/>
        <v>3</v>
      </c>
      <c r="E197" s="1">
        <v>177</v>
      </c>
      <c r="F197" s="1">
        <v>162</v>
      </c>
      <c r="G197" s="19">
        <v>111.5</v>
      </c>
      <c r="H197" s="13" t="s">
        <v>28</v>
      </c>
      <c r="I197" s="1">
        <v>2</v>
      </c>
      <c r="J197" s="6">
        <v>1.9</v>
      </c>
      <c r="K197" s="1">
        <v>2</v>
      </c>
      <c r="L197" s="29"/>
      <c r="O197" s="3"/>
    </row>
    <row r="198" spans="1:15" x14ac:dyDescent="0.3">
      <c r="A198" s="1" t="s">
        <v>174</v>
      </c>
      <c r="B198" s="1" t="s">
        <v>9</v>
      </c>
      <c r="C198" s="11">
        <v>41806</v>
      </c>
      <c r="D198" s="12">
        <f t="shared" si="3"/>
        <v>2</v>
      </c>
      <c r="E198" s="1">
        <v>254</v>
      </c>
      <c r="F198" s="1">
        <v>234</v>
      </c>
      <c r="G198" s="19">
        <v>328.5</v>
      </c>
      <c r="H198" s="13" t="s">
        <v>10</v>
      </c>
      <c r="I198" s="1">
        <v>4</v>
      </c>
      <c r="J198" s="6">
        <v>17</v>
      </c>
      <c r="K198" s="1">
        <v>0</v>
      </c>
      <c r="L198" s="29"/>
      <c r="O198" s="3"/>
    </row>
    <row r="199" spans="1:15" x14ac:dyDescent="0.3">
      <c r="A199" s="1" t="s">
        <v>175</v>
      </c>
      <c r="B199" s="1" t="s">
        <v>9</v>
      </c>
      <c r="C199" s="11">
        <v>42201</v>
      </c>
      <c r="D199" s="12">
        <f t="shared" si="3"/>
        <v>3</v>
      </c>
      <c r="E199" s="1">
        <v>184</v>
      </c>
      <c r="F199" s="1">
        <v>175</v>
      </c>
      <c r="G199" s="19">
        <v>123</v>
      </c>
      <c r="H199" s="13" t="s">
        <v>28</v>
      </c>
      <c r="I199" s="1">
        <v>1</v>
      </c>
      <c r="J199" s="6">
        <v>0.06</v>
      </c>
      <c r="K199" s="1">
        <v>2</v>
      </c>
      <c r="L199" s="29"/>
      <c r="O199" s="3"/>
    </row>
    <row r="200" spans="1:15" x14ac:dyDescent="0.3">
      <c r="A200" s="1" t="s">
        <v>175</v>
      </c>
      <c r="B200" s="1" t="s">
        <v>9</v>
      </c>
      <c r="C200" s="11">
        <v>41806</v>
      </c>
      <c r="D200" s="12">
        <f t="shared" si="3"/>
        <v>2</v>
      </c>
      <c r="E200" s="1">
        <v>246</v>
      </c>
      <c r="F200" s="1">
        <v>226</v>
      </c>
      <c r="G200" s="19">
        <v>332.9</v>
      </c>
      <c r="H200" s="13" t="s">
        <v>28</v>
      </c>
      <c r="I200" s="1">
        <v>4</v>
      </c>
      <c r="J200" s="6">
        <v>24.8</v>
      </c>
      <c r="K200" s="1">
        <v>1</v>
      </c>
      <c r="L200" s="29"/>
      <c r="O200" s="3"/>
    </row>
    <row r="201" spans="1:15" x14ac:dyDescent="0.3">
      <c r="A201" s="1" t="s">
        <v>176</v>
      </c>
      <c r="B201" s="1" t="s">
        <v>9</v>
      </c>
      <c r="C201" s="11">
        <v>42211</v>
      </c>
      <c r="D201" s="12">
        <f t="shared" si="3"/>
        <v>3</v>
      </c>
      <c r="E201" s="1">
        <v>172</v>
      </c>
      <c r="F201" s="1">
        <v>147</v>
      </c>
      <c r="G201" s="19">
        <v>95.2</v>
      </c>
      <c r="H201" s="13" t="s">
        <v>28</v>
      </c>
      <c r="I201" s="1">
        <v>1</v>
      </c>
      <c r="J201" s="6">
        <v>0.11</v>
      </c>
      <c r="K201" s="1">
        <v>3</v>
      </c>
      <c r="L201" s="29"/>
      <c r="O201" s="3"/>
    </row>
    <row r="202" spans="1:15" x14ac:dyDescent="0.3">
      <c r="A202" s="1" t="s">
        <v>176</v>
      </c>
      <c r="B202" s="1" t="s">
        <v>9</v>
      </c>
      <c r="C202" s="11">
        <v>41662</v>
      </c>
      <c r="D202" s="12">
        <f t="shared" si="3"/>
        <v>1</v>
      </c>
      <c r="E202" s="1">
        <v>264</v>
      </c>
      <c r="F202" s="1">
        <v>241</v>
      </c>
      <c r="G202" s="19">
        <v>398</v>
      </c>
      <c r="H202" s="13" t="s">
        <v>10</v>
      </c>
      <c r="I202" s="1">
        <v>4</v>
      </c>
      <c r="J202" s="6">
        <v>6.5</v>
      </c>
      <c r="K202" s="1">
        <v>2</v>
      </c>
      <c r="L202" s="29"/>
      <c r="O202" s="3"/>
    </row>
    <row r="203" spans="1:15" x14ac:dyDescent="0.3">
      <c r="A203" s="1" t="s">
        <v>177</v>
      </c>
      <c r="B203" s="1" t="s">
        <v>9</v>
      </c>
      <c r="C203" s="11">
        <v>42211</v>
      </c>
      <c r="D203" s="12">
        <f t="shared" si="3"/>
        <v>3</v>
      </c>
      <c r="E203" s="1">
        <v>172</v>
      </c>
      <c r="F203" s="1">
        <v>158</v>
      </c>
      <c r="G203" s="19">
        <v>119.6</v>
      </c>
      <c r="H203" s="13" t="s">
        <v>28</v>
      </c>
      <c r="I203" s="1">
        <v>2</v>
      </c>
      <c r="J203" s="6">
        <v>0.19</v>
      </c>
      <c r="K203" s="1">
        <v>3</v>
      </c>
      <c r="L203" s="29"/>
      <c r="O203" s="3"/>
    </row>
    <row r="204" spans="1:15" x14ac:dyDescent="0.3">
      <c r="A204" s="1" t="s">
        <v>177</v>
      </c>
      <c r="B204" s="1" t="s">
        <v>9</v>
      </c>
      <c r="C204" s="11">
        <v>41662</v>
      </c>
      <c r="D204" s="12">
        <f t="shared" si="3"/>
        <v>1</v>
      </c>
      <c r="E204" s="1">
        <v>251</v>
      </c>
      <c r="F204" s="1">
        <v>230</v>
      </c>
      <c r="G204" s="19">
        <v>349</v>
      </c>
      <c r="H204" s="13" t="s">
        <v>28</v>
      </c>
      <c r="I204" s="1">
        <v>1</v>
      </c>
      <c r="J204" s="6">
        <v>0.1</v>
      </c>
      <c r="K204" s="1">
        <v>1</v>
      </c>
      <c r="L204" s="29"/>
      <c r="O204" s="3"/>
    </row>
    <row r="205" spans="1:15" x14ac:dyDescent="0.3">
      <c r="A205" s="1" t="s">
        <v>178</v>
      </c>
      <c r="B205" s="1" t="s">
        <v>9</v>
      </c>
      <c r="C205" s="11">
        <v>41846</v>
      </c>
      <c r="D205" s="12">
        <f t="shared" si="3"/>
        <v>3</v>
      </c>
      <c r="E205" s="1">
        <v>175</v>
      </c>
      <c r="F205" s="1">
        <v>162</v>
      </c>
      <c r="G205" s="19">
        <v>115</v>
      </c>
      <c r="H205" s="13" t="s">
        <v>10</v>
      </c>
      <c r="I205" s="1">
        <v>1</v>
      </c>
      <c r="J205" s="6">
        <v>0.24</v>
      </c>
      <c r="K205" s="1">
        <v>2</v>
      </c>
      <c r="L205" s="29"/>
      <c r="O205" s="3"/>
    </row>
    <row r="206" spans="1:15" x14ac:dyDescent="0.3">
      <c r="A206" s="1" t="s">
        <v>179</v>
      </c>
      <c r="B206" s="1" t="s">
        <v>9</v>
      </c>
      <c r="C206" s="11">
        <v>42211</v>
      </c>
      <c r="D206" s="12">
        <f t="shared" si="3"/>
        <v>3</v>
      </c>
      <c r="E206" s="1">
        <v>190</v>
      </c>
      <c r="F206" s="1">
        <v>170</v>
      </c>
      <c r="G206" s="19">
        <v>109.5</v>
      </c>
      <c r="H206" s="13" t="s">
        <v>10</v>
      </c>
      <c r="I206" s="1">
        <v>2</v>
      </c>
      <c r="J206" s="6">
        <v>0.28000000000000003</v>
      </c>
      <c r="K206" s="1">
        <v>1</v>
      </c>
      <c r="L206" s="29"/>
      <c r="O206" s="3"/>
    </row>
    <row r="207" spans="1:15" x14ac:dyDescent="0.3">
      <c r="A207" s="1" t="s">
        <v>179</v>
      </c>
      <c r="B207" s="1" t="s">
        <v>9</v>
      </c>
      <c r="C207" s="11">
        <v>41727</v>
      </c>
      <c r="D207" s="12">
        <f t="shared" si="3"/>
        <v>1</v>
      </c>
      <c r="E207" s="1">
        <v>190</v>
      </c>
      <c r="F207" s="1">
        <v>170</v>
      </c>
      <c r="G207" s="19">
        <v>139</v>
      </c>
      <c r="H207" s="13" t="s">
        <v>10</v>
      </c>
      <c r="I207" s="1">
        <v>2</v>
      </c>
      <c r="J207" s="6">
        <v>0.5</v>
      </c>
      <c r="K207" s="1">
        <v>2</v>
      </c>
      <c r="L207" s="29"/>
      <c r="O207" s="3"/>
    </row>
    <row r="208" spans="1:15" x14ac:dyDescent="0.3">
      <c r="A208" s="1" t="s">
        <v>180</v>
      </c>
      <c r="B208" s="1" t="s">
        <v>9</v>
      </c>
      <c r="C208" s="11">
        <v>42211</v>
      </c>
      <c r="D208" s="12">
        <f t="shared" si="3"/>
        <v>3</v>
      </c>
      <c r="E208" s="1">
        <v>174</v>
      </c>
      <c r="F208" s="1">
        <v>161</v>
      </c>
      <c r="G208" s="19">
        <v>120</v>
      </c>
      <c r="H208" s="13" t="s">
        <v>28</v>
      </c>
      <c r="I208" s="1">
        <v>2</v>
      </c>
      <c r="J208" s="6">
        <v>0.15</v>
      </c>
      <c r="K208" s="1">
        <v>1</v>
      </c>
      <c r="L208" s="29"/>
      <c r="O208" s="3"/>
    </row>
    <row r="209" spans="1:15" x14ac:dyDescent="0.3">
      <c r="A209" s="1" t="s">
        <v>180</v>
      </c>
      <c r="B209" s="1" t="s">
        <v>9</v>
      </c>
      <c r="C209" s="11">
        <v>41727</v>
      </c>
      <c r="D209" s="12">
        <f t="shared" si="3"/>
        <v>1</v>
      </c>
      <c r="E209" s="1">
        <v>211</v>
      </c>
      <c r="F209" s="1">
        <v>199</v>
      </c>
      <c r="G209" s="19">
        <v>217.5</v>
      </c>
      <c r="H209" s="13" t="s">
        <v>10</v>
      </c>
      <c r="I209" s="1">
        <v>2</v>
      </c>
      <c r="J209" s="6">
        <v>8.5</v>
      </c>
      <c r="K209" s="1">
        <v>1</v>
      </c>
      <c r="L209" s="29"/>
      <c r="O209" s="3"/>
    </row>
    <row r="210" spans="1:15" x14ac:dyDescent="0.3">
      <c r="A210" s="1" t="s">
        <v>181</v>
      </c>
      <c r="B210" s="1" t="s">
        <v>9</v>
      </c>
      <c r="C210" s="11">
        <v>42211</v>
      </c>
      <c r="D210" s="12">
        <f t="shared" si="3"/>
        <v>3</v>
      </c>
      <c r="E210" s="1">
        <v>162</v>
      </c>
      <c r="F210" s="1">
        <v>148</v>
      </c>
      <c r="G210" s="19">
        <v>84.5</v>
      </c>
      <c r="H210" s="13" t="s">
        <v>28</v>
      </c>
      <c r="I210" s="1">
        <v>1</v>
      </c>
      <c r="J210" s="6">
        <v>0.15</v>
      </c>
      <c r="K210" s="1">
        <v>2</v>
      </c>
      <c r="L210" s="29"/>
      <c r="O210" s="3"/>
    </row>
    <row r="211" spans="1:15" x14ac:dyDescent="0.3">
      <c r="A211" s="1" t="s">
        <v>181</v>
      </c>
      <c r="B211" s="1" t="s">
        <v>9</v>
      </c>
      <c r="C211" s="11">
        <v>41806</v>
      </c>
      <c r="D211" s="12">
        <f t="shared" si="3"/>
        <v>2</v>
      </c>
      <c r="E211" s="1">
        <v>265</v>
      </c>
      <c r="F211" s="1">
        <v>245</v>
      </c>
      <c r="G211" s="19">
        <v>342</v>
      </c>
      <c r="H211" s="13" t="s">
        <v>28</v>
      </c>
      <c r="I211" s="1">
        <v>4</v>
      </c>
      <c r="J211" s="6">
        <v>20.9</v>
      </c>
      <c r="K211" s="1">
        <v>1</v>
      </c>
      <c r="L211" s="29"/>
      <c r="O211" s="3"/>
    </row>
    <row r="212" spans="1:15" x14ac:dyDescent="0.3">
      <c r="A212" s="1" t="s">
        <v>182</v>
      </c>
      <c r="B212" s="1" t="s">
        <v>9</v>
      </c>
      <c r="C212" s="11">
        <v>41806</v>
      </c>
      <c r="D212" s="12">
        <f t="shared" si="3"/>
        <v>2</v>
      </c>
      <c r="E212" s="1">
        <v>260</v>
      </c>
      <c r="F212" s="1">
        <v>225</v>
      </c>
      <c r="G212" s="19">
        <v>268</v>
      </c>
      <c r="H212" s="13" t="s">
        <v>10</v>
      </c>
      <c r="I212" s="1">
        <v>4</v>
      </c>
      <c r="J212" s="6">
        <v>11</v>
      </c>
      <c r="K212" s="1">
        <v>0</v>
      </c>
      <c r="L212" s="29"/>
      <c r="O212" s="3"/>
    </row>
    <row r="213" spans="1:15" x14ac:dyDescent="0.3">
      <c r="A213" s="1" t="s">
        <v>183</v>
      </c>
      <c r="B213" s="1" t="s">
        <v>9</v>
      </c>
      <c r="C213" s="11">
        <v>41775</v>
      </c>
      <c r="D213" s="12">
        <f t="shared" si="3"/>
        <v>2</v>
      </c>
      <c r="E213" s="1">
        <v>250</v>
      </c>
      <c r="F213" s="1">
        <v>205</v>
      </c>
      <c r="G213" s="19">
        <v>370.5</v>
      </c>
      <c r="H213" s="13" t="s">
        <v>28</v>
      </c>
      <c r="I213" s="1">
        <v>4</v>
      </c>
      <c r="J213" s="6">
        <v>22.5</v>
      </c>
      <c r="K213" s="1">
        <v>1</v>
      </c>
      <c r="L213" s="29"/>
      <c r="O213" s="3"/>
    </row>
    <row r="214" spans="1:15" x14ac:dyDescent="0.3">
      <c r="A214" s="1" t="s">
        <v>184</v>
      </c>
      <c r="B214" s="1" t="s">
        <v>9</v>
      </c>
      <c r="C214" s="11">
        <v>41846</v>
      </c>
      <c r="D214" s="12">
        <f t="shared" si="3"/>
        <v>3</v>
      </c>
      <c r="E214" s="1">
        <v>180</v>
      </c>
      <c r="F214" s="1">
        <v>170</v>
      </c>
      <c r="G214" s="19">
        <v>123</v>
      </c>
      <c r="H214" s="13" t="s">
        <v>10</v>
      </c>
      <c r="I214" s="1">
        <v>2</v>
      </c>
      <c r="J214" s="6">
        <v>0.23</v>
      </c>
      <c r="K214" s="1">
        <v>3</v>
      </c>
      <c r="L214" s="29"/>
      <c r="O214" s="3"/>
    </row>
    <row r="215" spans="1:15" x14ac:dyDescent="0.3">
      <c r="A215" s="1" t="s">
        <v>184</v>
      </c>
      <c r="B215" s="1" t="s">
        <v>9</v>
      </c>
      <c r="C215" s="11">
        <v>41758</v>
      </c>
      <c r="D215" s="12">
        <f t="shared" si="3"/>
        <v>2</v>
      </c>
      <c r="E215" s="1">
        <v>212</v>
      </c>
      <c r="F215" s="1">
        <v>195</v>
      </c>
      <c r="G215" s="19">
        <v>195.2</v>
      </c>
      <c r="H215" s="13" t="s">
        <v>28</v>
      </c>
      <c r="I215" s="1">
        <v>7</v>
      </c>
      <c r="J215" s="6">
        <v>4</v>
      </c>
      <c r="K215" s="1">
        <v>1</v>
      </c>
      <c r="L215" s="29"/>
      <c r="O215" s="3"/>
    </row>
    <row r="216" spans="1:15" x14ac:dyDescent="0.3">
      <c r="A216" s="1" t="s">
        <v>185</v>
      </c>
      <c r="B216" s="1" t="s">
        <v>9</v>
      </c>
      <c r="C216" s="11">
        <v>42211</v>
      </c>
      <c r="D216" s="12">
        <f t="shared" si="3"/>
        <v>3</v>
      </c>
      <c r="E216" s="1">
        <v>170</v>
      </c>
      <c r="G216" s="19">
        <v>129.9</v>
      </c>
      <c r="H216" s="13" t="s">
        <v>10</v>
      </c>
      <c r="I216" s="1">
        <v>1</v>
      </c>
      <c r="J216" s="6">
        <v>0.1</v>
      </c>
      <c r="K216" s="1">
        <v>2</v>
      </c>
      <c r="L216" s="29"/>
      <c r="O216" s="3"/>
    </row>
    <row r="217" spans="1:15" x14ac:dyDescent="0.3">
      <c r="A217" s="1" t="s">
        <v>186</v>
      </c>
      <c r="B217" s="1" t="s">
        <v>9</v>
      </c>
      <c r="C217" s="11">
        <v>42447</v>
      </c>
      <c r="D217" s="12">
        <f t="shared" si="3"/>
        <v>1</v>
      </c>
      <c r="E217" s="1">
        <v>197</v>
      </c>
      <c r="F217" s="1">
        <v>180</v>
      </c>
      <c r="G217" s="19">
        <v>167</v>
      </c>
      <c r="H217" s="13" t="s">
        <v>10</v>
      </c>
      <c r="I217" s="1">
        <v>1</v>
      </c>
      <c r="J217" s="6">
        <v>0</v>
      </c>
      <c r="K217" s="1">
        <v>0</v>
      </c>
      <c r="L217" s="29"/>
      <c r="O217" s="3"/>
    </row>
    <row r="218" spans="1:15" x14ac:dyDescent="0.3">
      <c r="A218" s="1" t="s">
        <v>187</v>
      </c>
      <c r="B218" s="1" t="s">
        <v>9</v>
      </c>
      <c r="C218" s="11">
        <v>42447</v>
      </c>
      <c r="D218" s="12">
        <f t="shared" si="3"/>
        <v>1</v>
      </c>
      <c r="E218" s="1">
        <v>217</v>
      </c>
      <c r="F218" s="1">
        <v>174</v>
      </c>
      <c r="G218" s="19">
        <v>208</v>
      </c>
      <c r="H218" s="13" t="s">
        <v>10</v>
      </c>
      <c r="I218" s="1">
        <v>2</v>
      </c>
      <c r="J218" s="6">
        <v>1</v>
      </c>
      <c r="K218" s="1">
        <v>2</v>
      </c>
      <c r="L218" s="29"/>
      <c r="O218" s="3"/>
    </row>
    <row r="219" spans="1:15" x14ac:dyDescent="0.3">
      <c r="A219" s="1" t="s">
        <v>188</v>
      </c>
      <c r="B219" s="1" t="s">
        <v>9</v>
      </c>
      <c r="C219" s="11">
        <v>42447</v>
      </c>
      <c r="D219" s="12">
        <f t="shared" si="3"/>
        <v>1</v>
      </c>
      <c r="E219" s="1">
        <v>204</v>
      </c>
      <c r="F219" s="1">
        <v>187</v>
      </c>
      <c r="G219" s="19">
        <v>162</v>
      </c>
      <c r="H219" s="13" t="s">
        <v>10</v>
      </c>
      <c r="I219" s="1">
        <v>2</v>
      </c>
      <c r="J219" s="6">
        <v>0.01</v>
      </c>
      <c r="K219" s="1">
        <v>2</v>
      </c>
      <c r="L219" s="29"/>
      <c r="O219" s="3"/>
    </row>
    <row r="220" spans="1:15" x14ac:dyDescent="0.3">
      <c r="A220" s="1" t="s">
        <v>189</v>
      </c>
      <c r="B220" s="1" t="s">
        <v>9</v>
      </c>
      <c r="C220" s="11">
        <v>42447</v>
      </c>
      <c r="D220" s="12">
        <f t="shared" si="3"/>
        <v>1</v>
      </c>
      <c r="E220" s="1">
        <v>225</v>
      </c>
      <c r="F220" s="1">
        <v>206</v>
      </c>
      <c r="G220" s="19">
        <v>208</v>
      </c>
      <c r="H220" s="13" t="s">
        <v>10</v>
      </c>
      <c r="I220" s="1">
        <v>1</v>
      </c>
      <c r="J220" s="6">
        <v>0.7</v>
      </c>
      <c r="K220" s="1">
        <v>2</v>
      </c>
      <c r="L220" s="29"/>
      <c r="O220" s="3"/>
    </row>
    <row r="221" spans="1:15" x14ac:dyDescent="0.3">
      <c r="A221" s="1" t="s">
        <v>190</v>
      </c>
      <c r="B221" s="1" t="s">
        <v>9</v>
      </c>
      <c r="C221" s="11">
        <v>42447</v>
      </c>
      <c r="D221" s="12">
        <f t="shared" si="3"/>
        <v>1</v>
      </c>
      <c r="E221" s="1">
        <v>149</v>
      </c>
      <c r="F221" s="1">
        <v>128</v>
      </c>
      <c r="G221" s="19">
        <v>63</v>
      </c>
      <c r="H221" s="13" t="s">
        <v>143</v>
      </c>
      <c r="I221" s="1">
        <v>1</v>
      </c>
      <c r="J221" s="6">
        <v>0.4</v>
      </c>
      <c r="K221" s="1">
        <v>1</v>
      </c>
      <c r="L221" s="29"/>
      <c r="O221" s="3"/>
    </row>
    <row r="222" spans="1:15" x14ac:dyDescent="0.3">
      <c r="A222" s="1" t="s">
        <v>191</v>
      </c>
      <c r="B222" s="1" t="s">
        <v>9</v>
      </c>
      <c r="C222" s="11">
        <v>42447</v>
      </c>
      <c r="D222" s="12">
        <f t="shared" si="3"/>
        <v>1</v>
      </c>
      <c r="E222" s="1">
        <v>273</v>
      </c>
      <c r="F222" s="1">
        <v>249</v>
      </c>
      <c r="G222" s="19">
        <v>415</v>
      </c>
      <c r="H222" s="13" t="s">
        <v>28</v>
      </c>
      <c r="I222" s="1">
        <v>4</v>
      </c>
      <c r="J222" s="6">
        <v>29.5</v>
      </c>
      <c r="K222" s="1">
        <v>2</v>
      </c>
      <c r="L222" s="29"/>
      <c r="O222" s="3"/>
    </row>
    <row r="223" spans="1:15" x14ac:dyDescent="0.3">
      <c r="A223" s="1" t="s">
        <v>192</v>
      </c>
      <c r="B223" s="1" t="s">
        <v>9</v>
      </c>
      <c r="C223" s="11">
        <v>42487</v>
      </c>
      <c r="D223" s="12">
        <f t="shared" si="3"/>
        <v>2</v>
      </c>
      <c r="E223" s="1">
        <v>196</v>
      </c>
      <c r="F223" s="1">
        <v>184</v>
      </c>
      <c r="G223" s="19">
        <v>150</v>
      </c>
      <c r="H223" s="13" t="s">
        <v>10</v>
      </c>
      <c r="I223" s="1">
        <v>2</v>
      </c>
      <c r="J223" s="6">
        <v>1</v>
      </c>
      <c r="K223" s="1">
        <v>1</v>
      </c>
      <c r="L223" s="29"/>
      <c r="O223" s="3"/>
    </row>
    <row r="224" spans="1:15" x14ac:dyDescent="0.3">
      <c r="A224" s="1" t="s">
        <v>193</v>
      </c>
      <c r="B224" s="1" t="s">
        <v>9</v>
      </c>
      <c r="C224" s="11">
        <v>42520</v>
      </c>
      <c r="D224" s="12">
        <f t="shared" si="3"/>
        <v>2</v>
      </c>
      <c r="E224" s="1">
        <v>205</v>
      </c>
      <c r="F224" s="1">
        <v>190</v>
      </c>
      <c r="G224" s="19">
        <v>185</v>
      </c>
      <c r="H224" s="13" t="s">
        <v>10</v>
      </c>
      <c r="I224" s="1">
        <v>2</v>
      </c>
      <c r="J224" s="6">
        <v>1</v>
      </c>
      <c r="K224" s="1">
        <v>1</v>
      </c>
      <c r="L224" s="29"/>
      <c r="O224" s="3"/>
    </row>
    <row r="225" spans="1:15" x14ac:dyDescent="0.3">
      <c r="A225" s="1" t="s">
        <v>194</v>
      </c>
      <c r="B225" s="1" t="s">
        <v>9</v>
      </c>
      <c r="C225" s="11">
        <v>42520</v>
      </c>
      <c r="D225" s="12">
        <f t="shared" si="3"/>
        <v>2</v>
      </c>
      <c r="E225" s="1">
        <v>225</v>
      </c>
      <c r="F225" s="1">
        <v>208</v>
      </c>
      <c r="G225" s="19">
        <v>233</v>
      </c>
      <c r="H225" s="13" t="s">
        <v>28</v>
      </c>
      <c r="I225" s="1">
        <v>5</v>
      </c>
      <c r="J225" s="6">
        <v>10</v>
      </c>
      <c r="K225" s="1">
        <v>0</v>
      </c>
      <c r="L225" s="29"/>
      <c r="O225" s="3"/>
    </row>
    <row r="226" spans="1:15" x14ac:dyDescent="0.3">
      <c r="A226" s="1" t="s">
        <v>195</v>
      </c>
      <c r="B226" s="1" t="s">
        <v>9</v>
      </c>
      <c r="C226" s="11">
        <v>42520</v>
      </c>
      <c r="D226" s="12">
        <f t="shared" si="3"/>
        <v>2</v>
      </c>
      <c r="E226" s="1">
        <v>215</v>
      </c>
      <c r="F226" s="1">
        <v>197</v>
      </c>
      <c r="G226" s="19">
        <v>189</v>
      </c>
      <c r="H226" s="13" t="s">
        <v>28</v>
      </c>
      <c r="I226" s="1">
        <v>4</v>
      </c>
      <c r="J226" s="6">
        <v>4.5</v>
      </c>
      <c r="K226" s="1">
        <v>1</v>
      </c>
      <c r="L226" s="29"/>
      <c r="O226" s="3"/>
    </row>
    <row r="227" spans="1:15" x14ac:dyDescent="0.3">
      <c r="A227" s="1" t="s">
        <v>195</v>
      </c>
      <c r="B227" s="1" t="s">
        <v>9</v>
      </c>
      <c r="C227" s="11">
        <v>42447</v>
      </c>
      <c r="D227" s="12">
        <f t="shared" si="3"/>
        <v>1</v>
      </c>
      <c r="E227" s="1">
        <v>261</v>
      </c>
      <c r="F227" s="1">
        <v>240</v>
      </c>
      <c r="G227" s="19">
        <v>380</v>
      </c>
      <c r="H227" s="13" t="s">
        <v>28</v>
      </c>
      <c r="I227" s="1">
        <v>4</v>
      </c>
      <c r="J227" s="6">
        <v>15</v>
      </c>
      <c r="K227" s="1">
        <v>2</v>
      </c>
      <c r="L227" s="29"/>
      <c r="O227" s="3"/>
    </row>
    <row r="228" spans="1:15" x14ac:dyDescent="0.3">
      <c r="A228" s="1" t="s">
        <v>196</v>
      </c>
      <c r="B228" s="1" t="s">
        <v>9</v>
      </c>
      <c r="C228" s="11">
        <v>42520</v>
      </c>
      <c r="D228" s="12">
        <f t="shared" si="3"/>
        <v>2</v>
      </c>
      <c r="E228" s="1">
        <v>193</v>
      </c>
      <c r="F228" s="1">
        <v>169</v>
      </c>
      <c r="G228" s="19">
        <v>146</v>
      </c>
      <c r="H228" s="13" t="s">
        <v>28</v>
      </c>
      <c r="I228" s="1">
        <v>2</v>
      </c>
      <c r="J228" s="6">
        <v>0</v>
      </c>
      <c r="K228" s="1">
        <v>0</v>
      </c>
      <c r="L228" s="29"/>
      <c r="O228" s="3"/>
    </row>
    <row r="229" spans="1:15" x14ac:dyDescent="0.3">
      <c r="A229" s="1" t="s">
        <v>197</v>
      </c>
      <c r="B229" s="1" t="s">
        <v>9</v>
      </c>
      <c r="C229" s="11">
        <v>42543</v>
      </c>
      <c r="D229" s="12">
        <f t="shared" si="3"/>
        <v>2</v>
      </c>
      <c r="E229" s="1">
        <v>298</v>
      </c>
      <c r="F229" s="1">
        <v>261</v>
      </c>
      <c r="G229" s="19">
        <v>492</v>
      </c>
      <c r="H229" s="13" t="s">
        <v>28</v>
      </c>
      <c r="I229" s="1">
        <v>4</v>
      </c>
      <c r="J229" s="6">
        <v>38.5</v>
      </c>
      <c r="K229" s="1">
        <v>1</v>
      </c>
      <c r="L229" s="29"/>
      <c r="O229" s="3"/>
    </row>
    <row r="230" spans="1:15" x14ac:dyDescent="0.3">
      <c r="A230" s="1" t="s">
        <v>198</v>
      </c>
      <c r="B230" s="1" t="s">
        <v>9</v>
      </c>
      <c r="C230" s="11">
        <v>42543</v>
      </c>
      <c r="D230" s="12">
        <f t="shared" si="3"/>
        <v>2</v>
      </c>
      <c r="E230" s="1">
        <v>228</v>
      </c>
      <c r="F230" s="1">
        <v>222</v>
      </c>
      <c r="G230" s="19">
        <v>243</v>
      </c>
      <c r="H230" s="13" t="s">
        <v>28</v>
      </c>
      <c r="I230" s="1">
        <v>3</v>
      </c>
      <c r="J230" s="6">
        <v>0.5</v>
      </c>
      <c r="K230" s="1">
        <v>1</v>
      </c>
      <c r="L230" s="29"/>
      <c r="O230" s="3"/>
    </row>
    <row r="231" spans="1:15" x14ac:dyDescent="0.3">
      <c r="A231" s="1" t="s">
        <v>199</v>
      </c>
      <c r="B231" s="1" t="s">
        <v>9</v>
      </c>
      <c r="C231" s="11">
        <v>42543</v>
      </c>
      <c r="D231" s="12">
        <f t="shared" si="3"/>
        <v>2</v>
      </c>
      <c r="E231" s="1">
        <v>303</v>
      </c>
      <c r="F231" s="1">
        <v>283</v>
      </c>
      <c r="G231" s="19">
        <v>557</v>
      </c>
      <c r="H231" s="13" t="s">
        <v>10</v>
      </c>
      <c r="I231" s="1">
        <v>6</v>
      </c>
      <c r="J231" s="6">
        <v>28</v>
      </c>
      <c r="K231" s="1">
        <v>1</v>
      </c>
      <c r="L231" s="29"/>
      <c r="O231" s="3"/>
    </row>
    <row r="232" spans="1:15" x14ac:dyDescent="0.3">
      <c r="A232" s="1" t="s">
        <v>200</v>
      </c>
      <c r="B232" s="1" t="s">
        <v>9</v>
      </c>
      <c r="C232" s="11">
        <v>42113</v>
      </c>
      <c r="D232" s="12">
        <f t="shared" si="3"/>
        <v>2</v>
      </c>
      <c r="E232" s="1">
        <v>280</v>
      </c>
      <c r="F232" s="1">
        <v>246</v>
      </c>
      <c r="G232" s="19">
        <v>437</v>
      </c>
      <c r="H232" s="13" t="s">
        <v>28</v>
      </c>
      <c r="I232" s="1">
        <v>5</v>
      </c>
      <c r="J232" s="6">
        <v>21.5</v>
      </c>
      <c r="K232" s="1">
        <v>1</v>
      </c>
      <c r="L232" s="29"/>
      <c r="O232" s="3"/>
    </row>
    <row r="233" spans="1:15" x14ac:dyDescent="0.3">
      <c r="A233" s="1" t="s">
        <v>201</v>
      </c>
      <c r="B233" s="1" t="s">
        <v>9</v>
      </c>
      <c r="C233" s="11">
        <v>42543</v>
      </c>
      <c r="D233" s="12">
        <f t="shared" si="3"/>
        <v>2</v>
      </c>
      <c r="E233" s="1">
        <v>210</v>
      </c>
      <c r="F233" s="1">
        <v>169</v>
      </c>
      <c r="G233" s="19">
        <v>177</v>
      </c>
      <c r="H233" s="13" t="s">
        <v>10</v>
      </c>
      <c r="I233" s="1">
        <v>2</v>
      </c>
      <c r="J233" s="6">
        <v>1.5</v>
      </c>
      <c r="K233" s="1">
        <v>2</v>
      </c>
      <c r="L233" s="29"/>
      <c r="O233" s="3"/>
    </row>
    <row r="234" spans="1:15" x14ac:dyDescent="0.3">
      <c r="A234" s="1" t="s">
        <v>202</v>
      </c>
      <c r="B234" s="1" t="s">
        <v>9</v>
      </c>
      <c r="C234" s="11">
        <v>42113</v>
      </c>
      <c r="D234" s="12">
        <f t="shared" si="3"/>
        <v>2</v>
      </c>
      <c r="E234" s="1">
        <v>227</v>
      </c>
      <c r="F234" s="1">
        <v>184</v>
      </c>
      <c r="G234" s="19">
        <v>244</v>
      </c>
      <c r="H234" s="13" t="s">
        <v>10</v>
      </c>
      <c r="I234" s="1">
        <v>5</v>
      </c>
      <c r="J234" s="6">
        <v>14.5</v>
      </c>
      <c r="K234" s="1">
        <v>0</v>
      </c>
      <c r="L234" s="29"/>
      <c r="O234" s="3"/>
    </row>
    <row r="235" spans="1:15" x14ac:dyDescent="0.3">
      <c r="A235" s="1" t="s">
        <v>203</v>
      </c>
      <c r="B235" s="1" t="s">
        <v>9</v>
      </c>
      <c r="C235" s="11">
        <v>42520</v>
      </c>
      <c r="D235" s="12">
        <f t="shared" si="3"/>
        <v>2</v>
      </c>
      <c r="E235" s="1">
        <v>309</v>
      </c>
      <c r="F235" s="1">
        <v>280</v>
      </c>
      <c r="G235" s="19">
        <v>638</v>
      </c>
      <c r="H235" s="13" t="s">
        <v>10</v>
      </c>
      <c r="I235" s="1">
        <v>5</v>
      </c>
      <c r="J235" s="6">
        <v>47</v>
      </c>
      <c r="K235" s="1">
        <v>1</v>
      </c>
      <c r="L235" s="29"/>
      <c r="O235" s="3"/>
    </row>
    <row r="236" spans="1:15" x14ac:dyDescent="0.3">
      <c r="A236" s="1" t="s">
        <v>204</v>
      </c>
      <c r="B236" s="1" t="s">
        <v>9</v>
      </c>
      <c r="C236" s="11">
        <v>42543</v>
      </c>
      <c r="D236" s="12">
        <f t="shared" si="3"/>
        <v>2</v>
      </c>
      <c r="E236" s="1">
        <v>174</v>
      </c>
      <c r="F236" s="1">
        <v>156</v>
      </c>
      <c r="G236" s="19">
        <v>96</v>
      </c>
      <c r="H236" s="13" t="s">
        <v>10</v>
      </c>
      <c r="I236" s="1">
        <v>2</v>
      </c>
      <c r="J236" s="6">
        <v>0.01</v>
      </c>
      <c r="K236" s="1">
        <v>1</v>
      </c>
      <c r="L236" s="29"/>
      <c r="O236" s="3"/>
    </row>
    <row r="237" spans="1:15" x14ac:dyDescent="0.3">
      <c r="A237" s="1" t="s">
        <v>205</v>
      </c>
      <c r="B237" s="1" t="s">
        <v>9</v>
      </c>
      <c r="C237" s="11">
        <v>42543</v>
      </c>
      <c r="D237" s="12">
        <f t="shared" si="3"/>
        <v>2</v>
      </c>
      <c r="E237" s="1">
        <v>150</v>
      </c>
      <c r="F237" s="1">
        <v>135</v>
      </c>
      <c r="G237" s="19">
        <v>65</v>
      </c>
      <c r="H237" s="13" t="s">
        <v>143</v>
      </c>
      <c r="I237" s="1">
        <v>1</v>
      </c>
      <c r="J237" s="6">
        <v>0.2</v>
      </c>
      <c r="K237" s="1">
        <v>2</v>
      </c>
      <c r="L237" s="29"/>
      <c r="O237" s="3"/>
    </row>
    <row r="238" spans="1:15" x14ac:dyDescent="0.3">
      <c r="A238" s="1" t="s">
        <v>205</v>
      </c>
      <c r="B238" s="1" t="s">
        <v>9</v>
      </c>
      <c r="C238" s="11">
        <v>42543</v>
      </c>
      <c r="D238" s="12">
        <f t="shared" si="3"/>
        <v>2</v>
      </c>
      <c r="E238" s="1">
        <v>171</v>
      </c>
      <c r="F238" s="1">
        <v>157</v>
      </c>
      <c r="G238" s="19">
        <v>91</v>
      </c>
      <c r="H238" s="13" t="s">
        <v>10</v>
      </c>
      <c r="I238" s="1">
        <v>1</v>
      </c>
      <c r="J238" s="6">
        <v>0.1</v>
      </c>
      <c r="K238" s="1">
        <v>0</v>
      </c>
      <c r="L238" s="29"/>
      <c r="O238" s="3"/>
    </row>
    <row r="239" spans="1:15" x14ac:dyDescent="0.3">
      <c r="A239" s="1" t="s">
        <v>206</v>
      </c>
      <c r="B239" s="1" t="s">
        <v>9</v>
      </c>
      <c r="C239" s="11">
        <v>42543</v>
      </c>
      <c r="D239" s="12">
        <f t="shared" si="3"/>
        <v>2</v>
      </c>
      <c r="E239" s="1">
        <v>230</v>
      </c>
      <c r="F239" s="1">
        <v>211</v>
      </c>
      <c r="G239" s="19">
        <v>241</v>
      </c>
      <c r="H239" s="13" t="s">
        <v>10</v>
      </c>
      <c r="I239" s="1">
        <v>2</v>
      </c>
      <c r="J239" s="6">
        <v>1.5</v>
      </c>
      <c r="K239" s="1">
        <v>2</v>
      </c>
      <c r="L239" s="29"/>
      <c r="O239" s="3"/>
    </row>
    <row r="240" spans="1:15" x14ac:dyDescent="0.3">
      <c r="A240" s="1" t="s">
        <v>207</v>
      </c>
      <c r="B240" s="1" t="s">
        <v>9</v>
      </c>
      <c r="C240" s="11">
        <v>42543</v>
      </c>
      <c r="D240" s="12">
        <f t="shared" si="3"/>
        <v>2</v>
      </c>
      <c r="E240" s="1">
        <v>165</v>
      </c>
      <c r="F240" s="1">
        <v>150</v>
      </c>
      <c r="G240" s="19">
        <v>93</v>
      </c>
      <c r="H240" s="13" t="s">
        <v>28</v>
      </c>
      <c r="I240" s="1">
        <v>1</v>
      </c>
      <c r="J240" s="6">
        <v>0</v>
      </c>
      <c r="K240" s="1">
        <v>2</v>
      </c>
      <c r="L240" s="29"/>
      <c r="O240" s="3"/>
    </row>
    <row r="241" spans="1:15" x14ac:dyDescent="0.3">
      <c r="A241" s="1" t="s">
        <v>208</v>
      </c>
      <c r="B241" s="1" t="s">
        <v>9</v>
      </c>
      <c r="C241" s="11">
        <v>42543</v>
      </c>
      <c r="D241" s="12">
        <f t="shared" si="3"/>
        <v>2</v>
      </c>
      <c r="E241" s="1">
        <v>152</v>
      </c>
      <c r="F241" s="1">
        <v>142</v>
      </c>
      <c r="G241" s="19">
        <v>74</v>
      </c>
      <c r="H241" s="13" t="s">
        <v>10</v>
      </c>
      <c r="I241" s="1">
        <v>1</v>
      </c>
      <c r="J241" s="6">
        <v>0.2</v>
      </c>
      <c r="K241" s="1">
        <v>0</v>
      </c>
      <c r="L241" s="29"/>
      <c r="O241" s="3"/>
    </row>
    <row r="242" spans="1:15" x14ac:dyDescent="0.3">
      <c r="A242" s="1" t="s">
        <v>209</v>
      </c>
      <c r="B242" s="1" t="s">
        <v>9</v>
      </c>
      <c r="C242" s="11">
        <v>42113</v>
      </c>
      <c r="D242" s="12">
        <f t="shared" si="3"/>
        <v>2</v>
      </c>
      <c r="E242" s="1">
        <v>280</v>
      </c>
      <c r="F242" s="1">
        <v>259</v>
      </c>
      <c r="G242" s="19">
        <v>485</v>
      </c>
      <c r="H242" s="13" t="s">
        <v>10</v>
      </c>
      <c r="I242" s="1">
        <v>4</v>
      </c>
      <c r="J242" s="6">
        <v>29</v>
      </c>
      <c r="K242" s="1">
        <v>2</v>
      </c>
      <c r="L242" s="29"/>
      <c r="O242" s="3"/>
    </row>
    <row r="243" spans="1:15" x14ac:dyDescent="0.3">
      <c r="A243" s="1" t="s">
        <v>210</v>
      </c>
      <c r="B243" s="1" t="s">
        <v>9</v>
      </c>
      <c r="C243" s="11">
        <v>42113</v>
      </c>
      <c r="D243" s="12">
        <f t="shared" si="3"/>
        <v>2</v>
      </c>
      <c r="E243" s="1">
        <v>284</v>
      </c>
      <c r="F243" s="1">
        <v>265</v>
      </c>
      <c r="G243" s="19">
        <v>545.5</v>
      </c>
      <c r="H243" s="13" t="s">
        <v>10</v>
      </c>
      <c r="I243" s="1">
        <v>5</v>
      </c>
      <c r="J243" s="6">
        <v>32.5</v>
      </c>
      <c r="K243" s="1">
        <v>1</v>
      </c>
      <c r="L243" s="29"/>
      <c r="O243" s="3"/>
    </row>
    <row r="244" spans="1:15" x14ac:dyDescent="0.3">
      <c r="A244" s="1" t="s">
        <v>211</v>
      </c>
      <c r="B244" s="1" t="s">
        <v>9</v>
      </c>
      <c r="C244" s="11">
        <v>42113</v>
      </c>
      <c r="D244" s="12">
        <f t="shared" si="3"/>
        <v>2</v>
      </c>
      <c r="E244" s="1">
        <v>288</v>
      </c>
      <c r="F244" s="1">
        <v>276</v>
      </c>
      <c r="G244" s="19">
        <v>534</v>
      </c>
      <c r="H244" s="13" t="s">
        <v>28</v>
      </c>
      <c r="I244" s="1">
        <v>4</v>
      </c>
      <c r="J244" s="6">
        <v>32</v>
      </c>
      <c r="K244" s="1">
        <v>2</v>
      </c>
      <c r="L244" s="29"/>
      <c r="O244" s="3"/>
    </row>
    <row r="245" spans="1:15" x14ac:dyDescent="0.3">
      <c r="A245" s="1" t="s">
        <v>212</v>
      </c>
      <c r="B245" s="1" t="s">
        <v>9</v>
      </c>
      <c r="C245" s="11">
        <v>42520</v>
      </c>
      <c r="D245" s="12">
        <f t="shared" si="3"/>
        <v>2</v>
      </c>
      <c r="E245" s="1">
        <v>287</v>
      </c>
      <c r="F245" s="1">
        <v>257</v>
      </c>
      <c r="G245" s="19">
        <v>481</v>
      </c>
      <c r="H245" s="13" t="s">
        <v>10</v>
      </c>
      <c r="I245" s="1">
        <v>5</v>
      </c>
      <c r="J245" s="6">
        <v>23</v>
      </c>
      <c r="K245" s="1">
        <v>0</v>
      </c>
      <c r="L245" s="29"/>
      <c r="O245" s="3"/>
    </row>
    <row r="246" spans="1:15" x14ac:dyDescent="0.3">
      <c r="A246" s="1" t="s">
        <v>213</v>
      </c>
      <c r="B246" s="1" t="s">
        <v>9</v>
      </c>
      <c r="C246" s="11">
        <v>42520</v>
      </c>
      <c r="D246" s="12">
        <f t="shared" si="3"/>
        <v>2</v>
      </c>
      <c r="E246" s="1">
        <v>257</v>
      </c>
      <c r="F246" s="1">
        <v>238</v>
      </c>
      <c r="G246" s="19">
        <v>327</v>
      </c>
      <c r="H246" s="13" t="s">
        <v>28</v>
      </c>
      <c r="I246" s="1">
        <v>4</v>
      </c>
      <c r="J246" s="6">
        <v>14.5</v>
      </c>
      <c r="K246" s="1">
        <v>1</v>
      </c>
      <c r="L246" s="29"/>
      <c r="O246" s="3"/>
    </row>
    <row r="247" spans="1:15" x14ac:dyDescent="0.3">
      <c r="A247" s="1" t="s">
        <v>214</v>
      </c>
      <c r="B247" s="1" t="s">
        <v>9</v>
      </c>
      <c r="C247" s="11">
        <v>42520</v>
      </c>
      <c r="D247" s="12">
        <f t="shared" si="3"/>
        <v>2</v>
      </c>
      <c r="E247" s="1">
        <v>213</v>
      </c>
      <c r="F247" s="1">
        <v>171</v>
      </c>
      <c r="G247" s="19">
        <v>177</v>
      </c>
      <c r="H247" s="13" t="s">
        <v>28</v>
      </c>
      <c r="I247" s="1">
        <v>2</v>
      </c>
      <c r="J247" s="6">
        <v>0</v>
      </c>
      <c r="K247" s="1">
        <v>1</v>
      </c>
      <c r="L247" s="29"/>
      <c r="O247" s="3"/>
    </row>
    <row r="248" spans="1:15" x14ac:dyDescent="0.3">
      <c r="A248" s="1" t="s">
        <v>215</v>
      </c>
      <c r="B248" s="1" t="s">
        <v>9</v>
      </c>
      <c r="C248" s="11">
        <v>42520</v>
      </c>
      <c r="D248" s="12">
        <f t="shared" si="3"/>
        <v>2</v>
      </c>
      <c r="E248" s="1">
        <v>201</v>
      </c>
      <c r="F248" s="1">
        <v>185</v>
      </c>
      <c r="G248" s="19">
        <v>184</v>
      </c>
      <c r="H248" s="13" t="s">
        <v>28</v>
      </c>
      <c r="I248" s="1">
        <v>3</v>
      </c>
      <c r="J248" s="6">
        <v>2.5</v>
      </c>
      <c r="K248" s="1">
        <v>1</v>
      </c>
      <c r="L248" s="29"/>
      <c r="O248" s="3"/>
    </row>
    <row r="249" spans="1:15" x14ac:dyDescent="0.3">
      <c r="A249" s="1" t="s">
        <v>216</v>
      </c>
      <c r="B249" s="1" t="s">
        <v>9</v>
      </c>
      <c r="C249" s="11">
        <v>42520</v>
      </c>
      <c r="D249" s="12">
        <f t="shared" si="3"/>
        <v>2</v>
      </c>
      <c r="E249" s="1">
        <v>195</v>
      </c>
      <c r="F249" s="1">
        <v>183</v>
      </c>
      <c r="G249" s="19">
        <v>186.5</v>
      </c>
      <c r="H249" s="13" t="s">
        <v>10</v>
      </c>
      <c r="I249" s="1">
        <v>2</v>
      </c>
      <c r="J249" s="6">
        <v>1</v>
      </c>
      <c r="K249" s="1">
        <v>1</v>
      </c>
      <c r="L249" s="29"/>
      <c r="O249" s="3"/>
    </row>
    <row r="250" spans="1:15" x14ac:dyDescent="0.3">
      <c r="A250" s="1" t="s">
        <v>217</v>
      </c>
      <c r="B250" s="1" t="s">
        <v>9</v>
      </c>
      <c r="C250" s="11">
        <v>42520</v>
      </c>
      <c r="D250" s="12">
        <f t="shared" si="3"/>
        <v>2</v>
      </c>
      <c r="E250" s="1">
        <v>218</v>
      </c>
      <c r="F250" s="1">
        <v>171</v>
      </c>
      <c r="G250" s="19">
        <v>202</v>
      </c>
      <c r="H250" s="13" t="s">
        <v>10</v>
      </c>
      <c r="I250" s="1">
        <v>3</v>
      </c>
      <c r="J250" s="6">
        <v>7</v>
      </c>
      <c r="K250" s="1">
        <v>0</v>
      </c>
      <c r="L250" s="29"/>
      <c r="O250" s="3"/>
    </row>
    <row r="251" spans="1:15" x14ac:dyDescent="0.3">
      <c r="A251" s="1" t="s">
        <v>218</v>
      </c>
      <c r="B251" s="1" t="s">
        <v>9</v>
      </c>
      <c r="C251" s="11">
        <v>42520</v>
      </c>
      <c r="D251" s="12">
        <f t="shared" si="3"/>
        <v>2</v>
      </c>
      <c r="E251" s="1">
        <v>235</v>
      </c>
      <c r="F251" s="1">
        <v>210</v>
      </c>
      <c r="G251" s="19">
        <v>247</v>
      </c>
      <c r="H251" s="13" t="s">
        <v>10</v>
      </c>
      <c r="I251" s="1">
        <v>4</v>
      </c>
      <c r="J251" s="6">
        <v>19</v>
      </c>
      <c r="K251" s="1">
        <v>1</v>
      </c>
      <c r="L251" s="29"/>
      <c r="O251" s="3"/>
    </row>
    <row r="252" spans="1:15" x14ac:dyDescent="0.3">
      <c r="A252" s="1" t="s">
        <v>219</v>
      </c>
      <c r="B252" s="1" t="s">
        <v>9</v>
      </c>
      <c r="C252" s="11">
        <v>42520</v>
      </c>
      <c r="D252" s="12">
        <f t="shared" si="3"/>
        <v>2</v>
      </c>
      <c r="E252" s="1">
        <v>230</v>
      </c>
      <c r="F252" s="1">
        <v>205</v>
      </c>
      <c r="G252" s="19">
        <v>253</v>
      </c>
      <c r="H252" s="13" t="s">
        <v>10</v>
      </c>
      <c r="I252" s="1">
        <v>2</v>
      </c>
      <c r="J252" s="6">
        <v>1</v>
      </c>
      <c r="K252" s="1">
        <v>1</v>
      </c>
      <c r="L252" s="29"/>
      <c r="O252" s="3"/>
    </row>
    <row r="253" spans="1:15" x14ac:dyDescent="0.3">
      <c r="A253" s="1" t="s">
        <v>220</v>
      </c>
      <c r="B253" s="1" t="s">
        <v>9</v>
      </c>
      <c r="C253" s="11">
        <v>41547</v>
      </c>
      <c r="D253" s="12">
        <f t="shared" si="3"/>
        <v>3</v>
      </c>
      <c r="E253" s="1">
        <v>275</v>
      </c>
      <c r="F253" s="1">
        <v>253</v>
      </c>
      <c r="G253" s="19">
        <v>535</v>
      </c>
      <c r="H253" s="13" t="s">
        <v>28</v>
      </c>
      <c r="I253" s="1">
        <v>5</v>
      </c>
      <c r="J253" s="6">
        <v>53</v>
      </c>
      <c r="K253" s="1">
        <v>0</v>
      </c>
      <c r="L253" s="29"/>
      <c r="O253" s="3"/>
    </row>
    <row r="254" spans="1:15" x14ac:dyDescent="0.3">
      <c r="A254" s="1" t="s">
        <v>221</v>
      </c>
      <c r="B254" s="1" t="s">
        <v>9</v>
      </c>
      <c r="C254" s="11">
        <v>42487</v>
      </c>
      <c r="D254" s="12">
        <f t="shared" si="3"/>
        <v>2</v>
      </c>
      <c r="E254" s="1">
        <v>203</v>
      </c>
      <c r="F254" s="1">
        <v>187</v>
      </c>
      <c r="G254" s="19">
        <v>177</v>
      </c>
      <c r="H254" s="13" t="s">
        <v>10</v>
      </c>
      <c r="I254" s="1">
        <v>2</v>
      </c>
      <c r="J254" s="6">
        <v>1</v>
      </c>
      <c r="K254" s="1">
        <v>1</v>
      </c>
      <c r="L254" s="29"/>
      <c r="O254" s="3"/>
    </row>
    <row r="255" spans="1:15" x14ac:dyDescent="0.3">
      <c r="A255" s="1" t="s">
        <v>222</v>
      </c>
      <c r="B255" s="1" t="s">
        <v>9</v>
      </c>
      <c r="C255" s="11">
        <v>42487</v>
      </c>
      <c r="D255" s="12">
        <f t="shared" si="3"/>
        <v>2</v>
      </c>
      <c r="E255" s="1">
        <v>250</v>
      </c>
      <c r="F255" s="1">
        <v>208</v>
      </c>
      <c r="G255" s="19">
        <v>329</v>
      </c>
      <c r="H255" s="13" t="s">
        <v>28</v>
      </c>
      <c r="I255" s="1">
        <v>5</v>
      </c>
      <c r="J255" s="6">
        <v>9.5</v>
      </c>
      <c r="K255" s="1">
        <v>2</v>
      </c>
      <c r="L255" s="29"/>
      <c r="O255" s="3"/>
    </row>
    <row r="256" spans="1:15" x14ac:dyDescent="0.3">
      <c r="A256" s="1" t="s">
        <v>223</v>
      </c>
      <c r="B256" s="1" t="s">
        <v>9</v>
      </c>
      <c r="C256" s="11">
        <v>42487</v>
      </c>
      <c r="D256" s="12">
        <f t="shared" si="3"/>
        <v>2</v>
      </c>
      <c r="E256" s="1">
        <v>281</v>
      </c>
      <c r="F256" s="1">
        <v>255</v>
      </c>
      <c r="G256" s="19">
        <v>512</v>
      </c>
      <c r="H256" s="13" t="s">
        <v>10</v>
      </c>
      <c r="I256" s="1">
        <v>6</v>
      </c>
      <c r="J256" s="6">
        <v>46</v>
      </c>
      <c r="K256" s="1">
        <v>0</v>
      </c>
      <c r="L256" s="29"/>
      <c r="O256" s="3"/>
    </row>
    <row r="257" spans="1:15" x14ac:dyDescent="0.3">
      <c r="A257" s="1" t="s">
        <v>224</v>
      </c>
      <c r="B257" s="1" t="s">
        <v>9</v>
      </c>
      <c r="C257" s="11">
        <v>42447</v>
      </c>
      <c r="D257" s="12">
        <f t="shared" si="3"/>
        <v>1</v>
      </c>
      <c r="E257" s="1">
        <v>150</v>
      </c>
      <c r="F257" s="1">
        <v>137</v>
      </c>
      <c r="G257" s="19">
        <v>71</v>
      </c>
      <c r="H257" s="13" t="s">
        <v>10</v>
      </c>
      <c r="I257" s="1">
        <v>1</v>
      </c>
      <c r="J257" s="6">
        <v>0.2</v>
      </c>
      <c r="K257" s="1">
        <v>1</v>
      </c>
      <c r="L257" s="29"/>
      <c r="O257" s="3"/>
    </row>
    <row r="258" spans="1:15" x14ac:dyDescent="0.3">
      <c r="A258" s="1" t="s">
        <v>225</v>
      </c>
      <c r="B258" s="1" t="s">
        <v>9</v>
      </c>
      <c r="C258" s="11">
        <v>42447</v>
      </c>
      <c r="D258" s="12">
        <f t="shared" ref="D258:D321" si="4">ROUNDUP(MONTH(C258)/3,0)</f>
        <v>1</v>
      </c>
      <c r="E258" s="1">
        <v>155</v>
      </c>
      <c r="F258" s="1">
        <v>149</v>
      </c>
      <c r="G258" s="19">
        <v>83.5</v>
      </c>
      <c r="H258" s="13" t="s">
        <v>143</v>
      </c>
      <c r="I258" s="1">
        <v>1</v>
      </c>
      <c r="J258" s="6">
        <v>0.2</v>
      </c>
      <c r="K258" s="1">
        <v>2</v>
      </c>
      <c r="L258" s="29"/>
      <c r="O258" s="3"/>
    </row>
    <row r="259" spans="1:15" x14ac:dyDescent="0.3">
      <c r="A259" s="1" t="s">
        <v>226</v>
      </c>
      <c r="B259" s="1" t="s">
        <v>9</v>
      </c>
      <c r="C259" s="11">
        <v>42447</v>
      </c>
      <c r="D259" s="12">
        <f t="shared" si="4"/>
        <v>1</v>
      </c>
      <c r="E259" s="1">
        <v>140</v>
      </c>
      <c r="F259" s="1">
        <v>131</v>
      </c>
      <c r="G259" s="19">
        <v>57</v>
      </c>
      <c r="H259" s="13" t="s">
        <v>28</v>
      </c>
      <c r="I259" s="1">
        <v>1</v>
      </c>
      <c r="J259" s="6">
        <v>0</v>
      </c>
      <c r="K259" s="1">
        <v>1</v>
      </c>
      <c r="L259" s="29"/>
      <c r="O259" s="3"/>
    </row>
    <row r="260" spans="1:15" x14ac:dyDescent="0.3">
      <c r="A260" s="1" t="s">
        <v>227</v>
      </c>
      <c r="B260" s="1" t="s">
        <v>9</v>
      </c>
      <c r="C260" s="11">
        <v>42487</v>
      </c>
      <c r="D260" s="12">
        <f t="shared" si="4"/>
        <v>2</v>
      </c>
      <c r="E260" s="1">
        <v>210</v>
      </c>
      <c r="F260" s="1">
        <v>200</v>
      </c>
      <c r="G260" s="19">
        <v>211</v>
      </c>
      <c r="H260" s="13" t="s">
        <v>28</v>
      </c>
      <c r="I260" s="1">
        <v>2</v>
      </c>
      <c r="J260" s="6">
        <v>0</v>
      </c>
      <c r="K260" s="1">
        <v>2</v>
      </c>
      <c r="L260" s="29"/>
      <c r="O260" s="3"/>
    </row>
    <row r="261" spans="1:15" x14ac:dyDescent="0.3">
      <c r="A261" s="1" t="s">
        <v>228</v>
      </c>
      <c r="B261" s="1" t="s">
        <v>9</v>
      </c>
      <c r="C261" s="11">
        <v>42487</v>
      </c>
      <c r="D261" s="12">
        <f t="shared" si="4"/>
        <v>2</v>
      </c>
      <c r="E261" s="1">
        <v>223</v>
      </c>
      <c r="F261" s="1">
        <v>209</v>
      </c>
      <c r="G261" s="19">
        <v>255</v>
      </c>
      <c r="H261" s="13" t="s">
        <v>28</v>
      </c>
      <c r="I261" s="1">
        <v>4</v>
      </c>
      <c r="J261" s="6">
        <v>1.5</v>
      </c>
      <c r="K261" s="1">
        <v>2</v>
      </c>
      <c r="L261" s="29"/>
      <c r="O261" s="3"/>
    </row>
    <row r="262" spans="1:15" x14ac:dyDescent="0.3">
      <c r="A262" s="1" t="s">
        <v>229</v>
      </c>
      <c r="B262" s="1" t="s">
        <v>9</v>
      </c>
      <c r="C262" s="11">
        <v>42447</v>
      </c>
      <c r="D262" s="12">
        <f t="shared" si="4"/>
        <v>1</v>
      </c>
      <c r="E262" s="1">
        <v>201</v>
      </c>
      <c r="F262" s="1">
        <v>190</v>
      </c>
      <c r="G262" s="19">
        <v>190</v>
      </c>
      <c r="H262" s="13" t="s">
        <v>10</v>
      </c>
      <c r="I262" s="1">
        <v>2</v>
      </c>
      <c r="J262" s="6">
        <v>0.5</v>
      </c>
      <c r="K262" s="1">
        <v>3</v>
      </c>
      <c r="L262" s="29"/>
      <c r="O262" s="3"/>
    </row>
    <row r="263" spans="1:15" x14ac:dyDescent="0.3">
      <c r="A263" s="1" t="s">
        <v>230</v>
      </c>
      <c r="B263" s="1" t="s">
        <v>9</v>
      </c>
      <c r="C263" s="11">
        <v>42447</v>
      </c>
      <c r="D263" s="12">
        <f t="shared" si="4"/>
        <v>1</v>
      </c>
      <c r="E263" s="1">
        <v>205</v>
      </c>
      <c r="F263" s="1">
        <v>185</v>
      </c>
      <c r="G263" s="19">
        <v>185</v>
      </c>
      <c r="H263" s="13" t="s">
        <v>10</v>
      </c>
      <c r="I263" s="1">
        <v>2</v>
      </c>
      <c r="J263" s="6">
        <v>1</v>
      </c>
      <c r="K263" s="1">
        <v>3</v>
      </c>
      <c r="L263" s="29"/>
      <c r="O263" s="3"/>
    </row>
    <row r="264" spans="1:15" x14ac:dyDescent="0.3">
      <c r="A264" s="1" t="s">
        <v>231</v>
      </c>
      <c r="B264" s="1" t="s">
        <v>9</v>
      </c>
      <c r="C264" s="11">
        <v>42447</v>
      </c>
      <c r="D264" s="12">
        <f t="shared" si="4"/>
        <v>1</v>
      </c>
      <c r="E264" s="1">
        <v>208</v>
      </c>
      <c r="F264" s="1">
        <v>174</v>
      </c>
      <c r="G264" s="19">
        <v>216</v>
      </c>
      <c r="H264" s="13" t="s">
        <v>28</v>
      </c>
      <c r="I264" s="1">
        <v>1</v>
      </c>
      <c r="J264" s="6">
        <v>0.1</v>
      </c>
      <c r="K264" s="1">
        <v>3</v>
      </c>
      <c r="L264" s="29"/>
      <c r="O264" s="3"/>
    </row>
    <row r="265" spans="1:15" x14ac:dyDescent="0.3">
      <c r="A265" s="1" t="s">
        <v>232</v>
      </c>
      <c r="B265" s="1" t="s">
        <v>9</v>
      </c>
      <c r="C265" s="11">
        <v>42543</v>
      </c>
      <c r="D265" s="12">
        <f t="shared" si="4"/>
        <v>2</v>
      </c>
      <c r="E265" s="1">
        <v>284</v>
      </c>
      <c r="F265" s="1">
        <v>260</v>
      </c>
      <c r="G265" s="19">
        <v>420</v>
      </c>
      <c r="H265" s="13" t="s">
        <v>28</v>
      </c>
      <c r="I265" s="1">
        <v>3</v>
      </c>
      <c r="J265" s="6">
        <v>8</v>
      </c>
      <c r="K265" s="1">
        <v>1</v>
      </c>
      <c r="L265" s="29"/>
      <c r="O265" s="3"/>
    </row>
    <row r="266" spans="1:15" x14ac:dyDescent="0.3">
      <c r="A266" s="1" t="s">
        <v>233</v>
      </c>
      <c r="B266" s="1" t="s">
        <v>9</v>
      </c>
      <c r="C266" s="11">
        <v>42543</v>
      </c>
      <c r="D266" s="12">
        <f t="shared" si="4"/>
        <v>2</v>
      </c>
      <c r="E266" s="1">
        <v>280</v>
      </c>
      <c r="F266" s="1">
        <v>260</v>
      </c>
      <c r="G266" s="19">
        <v>433.5</v>
      </c>
      <c r="H266" s="13" t="s">
        <v>28</v>
      </c>
      <c r="I266" s="1">
        <v>5</v>
      </c>
      <c r="J266" s="6">
        <v>28</v>
      </c>
      <c r="K266" s="1">
        <v>1</v>
      </c>
      <c r="L266" s="29"/>
      <c r="O266" s="3"/>
    </row>
    <row r="267" spans="1:15" x14ac:dyDescent="0.3">
      <c r="A267" s="1" t="s">
        <v>234</v>
      </c>
      <c r="B267" s="1" t="s">
        <v>9</v>
      </c>
      <c r="C267" s="11">
        <v>42543</v>
      </c>
      <c r="D267" s="12">
        <f t="shared" si="4"/>
        <v>2</v>
      </c>
      <c r="E267" s="1">
        <v>176</v>
      </c>
      <c r="F267" s="1">
        <v>161</v>
      </c>
      <c r="G267" s="19">
        <v>104</v>
      </c>
      <c r="H267" s="13" t="s">
        <v>28</v>
      </c>
      <c r="I267" s="1">
        <v>2</v>
      </c>
      <c r="J267" s="6">
        <v>0</v>
      </c>
      <c r="K267" s="1">
        <v>1</v>
      </c>
      <c r="L267" s="29"/>
      <c r="O267" s="3"/>
    </row>
    <row r="268" spans="1:15" x14ac:dyDescent="0.3">
      <c r="A268" s="1" t="s">
        <v>235</v>
      </c>
      <c r="B268" s="1" t="s">
        <v>9</v>
      </c>
      <c r="C268" s="11">
        <v>42543</v>
      </c>
      <c r="D268" s="12">
        <f t="shared" si="4"/>
        <v>2</v>
      </c>
      <c r="E268" s="1">
        <v>165</v>
      </c>
      <c r="F268" s="1">
        <v>155</v>
      </c>
      <c r="G268" s="19">
        <v>100</v>
      </c>
      <c r="H268" s="13" t="s">
        <v>28</v>
      </c>
      <c r="I268" s="1">
        <v>2</v>
      </c>
      <c r="J268" s="6">
        <v>0</v>
      </c>
      <c r="K268" s="1">
        <v>2</v>
      </c>
      <c r="L268" s="29"/>
      <c r="O268" s="3"/>
    </row>
    <row r="269" spans="1:15" x14ac:dyDescent="0.3">
      <c r="A269" s="1" t="s">
        <v>236</v>
      </c>
      <c r="B269" s="1" t="s">
        <v>9</v>
      </c>
      <c r="C269" s="11">
        <v>42447</v>
      </c>
      <c r="D269" s="12">
        <f t="shared" si="4"/>
        <v>1</v>
      </c>
      <c r="E269" s="1">
        <v>258</v>
      </c>
      <c r="F269" s="1">
        <v>237</v>
      </c>
      <c r="G269" s="19">
        <v>350</v>
      </c>
      <c r="H269" s="13" t="s">
        <v>28</v>
      </c>
      <c r="I269" s="1">
        <v>2</v>
      </c>
      <c r="J269" s="6">
        <v>1.5</v>
      </c>
      <c r="K269" s="1">
        <v>1</v>
      </c>
      <c r="L269" s="29"/>
      <c r="O269" s="3"/>
    </row>
    <row r="270" spans="1:15" x14ac:dyDescent="0.3">
      <c r="A270" s="1" t="s">
        <v>237</v>
      </c>
      <c r="B270" s="1" t="s">
        <v>9</v>
      </c>
      <c r="C270" s="11">
        <v>42447</v>
      </c>
      <c r="D270" s="12">
        <f t="shared" si="4"/>
        <v>1</v>
      </c>
      <c r="E270" s="1">
        <v>169</v>
      </c>
      <c r="F270" s="1">
        <v>154</v>
      </c>
      <c r="G270" s="19">
        <v>96</v>
      </c>
      <c r="H270" s="13" t="s">
        <v>10</v>
      </c>
      <c r="I270" s="1">
        <v>2</v>
      </c>
      <c r="J270" s="6">
        <v>0.2</v>
      </c>
      <c r="K270" s="1">
        <v>0</v>
      </c>
      <c r="L270" s="29"/>
      <c r="O270" s="3"/>
    </row>
    <row r="271" spans="1:15" x14ac:dyDescent="0.3">
      <c r="A271" s="1" t="s">
        <v>238</v>
      </c>
      <c r="B271" s="1" t="s">
        <v>9</v>
      </c>
      <c r="C271" s="11">
        <v>41109</v>
      </c>
      <c r="D271" s="12">
        <f t="shared" si="4"/>
        <v>3</v>
      </c>
      <c r="E271" s="1">
        <v>192</v>
      </c>
      <c r="F271" s="1">
        <v>177</v>
      </c>
      <c r="G271" s="19">
        <v>151</v>
      </c>
      <c r="H271" s="13" t="s">
        <v>10</v>
      </c>
      <c r="I271" s="1">
        <v>2</v>
      </c>
      <c r="J271" s="6">
        <v>0.2</v>
      </c>
      <c r="K271" s="1">
        <v>1</v>
      </c>
      <c r="L271" s="29"/>
      <c r="O271" s="3"/>
    </row>
    <row r="272" spans="1:15" x14ac:dyDescent="0.3">
      <c r="A272" s="1" t="s">
        <v>239</v>
      </c>
      <c r="B272" s="1" t="s">
        <v>9</v>
      </c>
      <c r="C272" s="11">
        <v>42447</v>
      </c>
      <c r="D272" s="12">
        <f t="shared" si="4"/>
        <v>1</v>
      </c>
      <c r="E272" s="1">
        <v>206</v>
      </c>
      <c r="F272" s="1">
        <v>190</v>
      </c>
      <c r="G272" s="19">
        <v>181</v>
      </c>
      <c r="H272" s="13" t="s">
        <v>10</v>
      </c>
      <c r="I272" s="1">
        <v>2</v>
      </c>
      <c r="J272" s="6">
        <v>0</v>
      </c>
      <c r="K272" s="1">
        <v>2</v>
      </c>
      <c r="L272" s="29"/>
      <c r="O272" s="3"/>
    </row>
    <row r="273" spans="1:15" x14ac:dyDescent="0.3">
      <c r="A273" s="1" t="s">
        <v>240</v>
      </c>
      <c r="B273" s="1" t="s">
        <v>9</v>
      </c>
      <c r="C273" s="11">
        <v>42487</v>
      </c>
      <c r="D273" s="12">
        <f t="shared" si="4"/>
        <v>2</v>
      </c>
      <c r="E273" s="1">
        <v>223</v>
      </c>
      <c r="F273" s="1">
        <v>204</v>
      </c>
      <c r="G273" s="19">
        <v>225</v>
      </c>
      <c r="H273" s="13" t="s">
        <v>28</v>
      </c>
      <c r="I273" s="1">
        <v>2</v>
      </c>
      <c r="J273" s="6">
        <v>2.5</v>
      </c>
      <c r="K273" s="1">
        <v>1</v>
      </c>
      <c r="L273" s="29"/>
      <c r="O273" s="3"/>
    </row>
    <row r="274" spans="1:15" x14ac:dyDescent="0.3">
      <c r="A274" s="1" t="s">
        <v>241</v>
      </c>
      <c r="B274" s="1" t="s">
        <v>9</v>
      </c>
      <c r="C274" s="11">
        <v>42487</v>
      </c>
      <c r="D274" s="12">
        <f t="shared" si="4"/>
        <v>2</v>
      </c>
      <c r="E274" s="1">
        <v>198</v>
      </c>
      <c r="F274" s="1">
        <v>182</v>
      </c>
      <c r="G274" s="19">
        <v>165</v>
      </c>
      <c r="H274" s="13" t="s">
        <v>28</v>
      </c>
      <c r="I274" s="1">
        <v>1</v>
      </c>
      <c r="J274" s="6">
        <v>0.05</v>
      </c>
      <c r="K274" s="1">
        <v>2</v>
      </c>
      <c r="L274" s="29"/>
      <c r="O274" s="3"/>
    </row>
    <row r="275" spans="1:15" x14ac:dyDescent="0.3">
      <c r="A275" s="1" t="s">
        <v>242</v>
      </c>
      <c r="B275" s="1" t="s">
        <v>9</v>
      </c>
      <c r="C275" s="11">
        <v>42487</v>
      </c>
      <c r="D275" s="12">
        <f t="shared" si="4"/>
        <v>2</v>
      </c>
      <c r="E275" s="1">
        <v>218</v>
      </c>
      <c r="F275" s="1">
        <v>200</v>
      </c>
      <c r="G275" s="19">
        <v>233</v>
      </c>
      <c r="H275" s="13" t="s">
        <v>28</v>
      </c>
      <c r="I275" s="1">
        <v>2</v>
      </c>
      <c r="J275" s="6">
        <v>0</v>
      </c>
      <c r="K275" s="1">
        <v>2</v>
      </c>
      <c r="L275" s="29"/>
      <c r="O275" s="3"/>
    </row>
    <row r="276" spans="1:15" x14ac:dyDescent="0.3">
      <c r="A276" s="1" t="s">
        <v>243</v>
      </c>
      <c r="B276" s="1" t="s">
        <v>9</v>
      </c>
      <c r="C276" s="11">
        <v>42487</v>
      </c>
      <c r="D276" s="12">
        <f t="shared" si="4"/>
        <v>2</v>
      </c>
      <c r="E276" s="1">
        <v>197</v>
      </c>
      <c r="F276" s="1">
        <v>184</v>
      </c>
      <c r="G276" s="19">
        <v>157</v>
      </c>
      <c r="H276" s="13" t="s">
        <v>10</v>
      </c>
      <c r="I276" s="1">
        <v>2</v>
      </c>
      <c r="J276" s="6">
        <v>7.6</v>
      </c>
      <c r="K276" s="1">
        <v>2</v>
      </c>
      <c r="L276" s="29"/>
      <c r="O276" s="3"/>
    </row>
    <row r="277" spans="1:15" x14ac:dyDescent="0.3">
      <c r="A277" s="1" t="s">
        <v>244</v>
      </c>
      <c r="B277" s="1" t="s">
        <v>9</v>
      </c>
      <c r="C277" s="11">
        <v>42487</v>
      </c>
      <c r="D277" s="12">
        <f t="shared" si="4"/>
        <v>2</v>
      </c>
      <c r="E277" s="1">
        <v>237</v>
      </c>
      <c r="F277" s="1">
        <v>214</v>
      </c>
      <c r="G277" s="19">
        <v>238</v>
      </c>
      <c r="H277" s="13" t="s">
        <v>28</v>
      </c>
      <c r="I277" s="1">
        <v>3</v>
      </c>
      <c r="J277" s="6">
        <v>4</v>
      </c>
      <c r="K277" s="1">
        <v>0</v>
      </c>
      <c r="L277" s="29"/>
      <c r="O277" s="3"/>
    </row>
    <row r="278" spans="1:15" x14ac:dyDescent="0.3">
      <c r="A278" s="13" t="s">
        <v>245</v>
      </c>
      <c r="B278" s="13" t="s">
        <v>9</v>
      </c>
      <c r="C278" s="14">
        <v>42781</v>
      </c>
      <c r="D278" s="12">
        <f t="shared" si="4"/>
        <v>1</v>
      </c>
      <c r="E278" s="15">
        <v>315</v>
      </c>
      <c r="F278" s="15">
        <v>296</v>
      </c>
      <c r="G278" s="19">
        <v>660</v>
      </c>
      <c r="H278" s="13" t="s">
        <v>10</v>
      </c>
      <c r="I278" s="15">
        <v>4</v>
      </c>
      <c r="J278" s="16" t="s">
        <v>246</v>
      </c>
      <c r="K278" s="15">
        <v>2</v>
      </c>
      <c r="L278" s="29"/>
      <c r="O278" s="3"/>
    </row>
    <row r="279" spans="1:15" x14ac:dyDescent="0.3">
      <c r="A279" s="13" t="s">
        <v>247</v>
      </c>
      <c r="B279" s="13" t="s">
        <v>9</v>
      </c>
      <c r="C279" s="14">
        <v>42815</v>
      </c>
      <c r="D279" s="12">
        <f t="shared" si="4"/>
        <v>1</v>
      </c>
      <c r="E279" s="15">
        <v>310</v>
      </c>
      <c r="F279" s="15">
        <v>290</v>
      </c>
      <c r="G279" s="19">
        <v>549</v>
      </c>
      <c r="H279" s="13" t="s">
        <v>10</v>
      </c>
      <c r="I279" s="15">
        <v>4</v>
      </c>
      <c r="J279" s="16">
        <v>11</v>
      </c>
      <c r="K279" s="15">
        <v>0</v>
      </c>
      <c r="L279" s="29"/>
      <c r="O279" s="3"/>
    </row>
    <row r="280" spans="1:15" x14ac:dyDescent="0.3">
      <c r="A280" s="13" t="s">
        <v>248</v>
      </c>
      <c r="B280" s="13" t="s">
        <v>9</v>
      </c>
      <c r="C280" s="14">
        <v>42815</v>
      </c>
      <c r="D280" s="12">
        <f t="shared" si="4"/>
        <v>1</v>
      </c>
      <c r="E280" s="15">
        <v>305</v>
      </c>
      <c r="F280" s="15">
        <v>278</v>
      </c>
      <c r="G280" s="19">
        <v>446.5</v>
      </c>
      <c r="H280" s="13" t="s">
        <v>28</v>
      </c>
      <c r="I280" s="15">
        <v>3</v>
      </c>
      <c r="J280" s="16" t="s">
        <v>249</v>
      </c>
      <c r="K280" s="15">
        <v>0</v>
      </c>
      <c r="L280" s="29"/>
      <c r="O280" s="3"/>
    </row>
    <row r="281" spans="1:15" x14ac:dyDescent="0.3">
      <c r="A281" s="13" t="s">
        <v>250</v>
      </c>
      <c r="B281" s="13" t="s">
        <v>9</v>
      </c>
      <c r="C281" s="14">
        <v>42815</v>
      </c>
      <c r="D281" s="12">
        <f t="shared" si="4"/>
        <v>1</v>
      </c>
      <c r="E281" s="15">
        <v>278</v>
      </c>
      <c r="F281" s="15">
        <v>259</v>
      </c>
      <c r="G281" s="19">
        <v>354</v>
      </c>
      <c r="H281" s="13" t="s">
        <v>10</v>
      </c>
      <c r="I281" s="15">
        <v>3</v>
      </c>
      <c r="J281" s="16" t="s">
        <v>251</v>
      </c>
      <c r="K281" s="15">
        <v>0</v>
      </c>
      <c r="L281" s="29"/>
      <c r="O281" s="3"/>
    </row>
    <row r="282" spans="1:15" x14ac:dyDescent="0.3">
      <c r="A282" s="13" t="s">
        <v>252</v>
      </c>
      <c r="B282" s="13" t="s">
        <v>9</v>
      </c>
      <c r="C282" s="14">
        <v>42815</v>
      </c>
      <c r="D282" s="12">
        <f t="shared" si="4"/>
        <v>1</v>
      </c>
      <c r="E282" s="15">
        <v>280</v>
      </c>
      <c r="F282" s="15">
        <v>257</v>
      </c>
      <c r="G282" s="19">
        <v>396.2</v>
      </c>
      <c r="H282" s="13" t="s">
        <v>28</v>
      </c>
      <c r="I282" s="15">
        <v>3</v>
      </c>
      <c r="J282" s="16" t="s">
        <v>249</v>
      </c>
      <c r="K282" s="15">
        <v>1</v>
      </c>
      <c r="L282" s="29"/>
      <c r="O282" s="3"/>
    </row>
    <row r="283" spans="1:15" x14ac:dyDescent="0.3">
      <c r="A283" s="13" t="s">
        <v>253</v>
      </c>
      <c r="B283" s="13" t="s">
        <v>9</v>
      </c>
      <c r="C283" s="14">
        <v>42781</v>
      </c>
      <c r="D283" s="12">
        <f t="shared" si="4"/>
        <v>1</v>
      </c>
      <c r="E283" s="15">
        <v>301</v>
      </c>
      <c r="F283" s="15">
        <v>279</v>
      </c>
      <c r="G283" s="19">
        <v>551.5</v>
      </c>
      <c r="H283" s="13" t="s">
        <v>10</v>
      </c>
      <c r="I283" s="15">
        <v>6</v>
      </c>
      <c r="J283" s="16" t="s">
        <v>254</v>
      </c>
      <c r="K283" s="15">
        <v>1</v>
      </c>
      <c r="L283" s="29"/>
      <c r="O283" s="3"/>
    </row>
    <row r="284" spans="1:15" x14ac:dyDescent="0.3">
      <c r="A284" s="13" t="s">
        <v>255</v>
      </c>
      <c r="B284" s="13" t="s">
        <v>9</v>
      </c>
      <c r="C284" s="14">
        <v>42722</v>
      </c>
      <c r="D284" s="12">
        <f t="shared" si="4"/>
        <v>4</v>
      </c>
      <c r="E284" s="15">
        <v>247</v>
      </c>
      <c r="F284" s="15">
        <v>225</v>
      </c>
      <c r="G284" s="19">
        <v>253</v>
      </c>
      <c r="H284" s="13" t="s">
        <v>28</v>
      </c>
      <c r="I284" s="15">
        <v>3</v>
      </c>
      <c r="J284" s="16" t="s">
        <v>256</v>
      </c>
      <c r="K284" s="15">
        <v>1</v>
      </c>
      <c r="L284" s="29"/>
      <c r="O284" s="3"/>
    </row>
    <row r="285" spans="1:15" x14ac:dyDescent="0.3">
      <c r="A285" s="13" t="s">
        <v>257</v>
      </c>
      <c r="B285" s="13" t="s">
        <v>9</v>
      </c>
      <c r="C285" s="14">
        <v>42815</v>
      </c>
      <c r="D285" s="12">
        <f t="shared" si="4"/>
        <v>1</v>
      </c>
      <c r="E285" s="15">
        <v>294</v>
      </c>
      <c r="F285" s="15">
        <v>266</v>
      </c>
      <c r="G285" s="19">
        <v>467.5</v>
      </c>
      <c r="H285" s="13" t="s">
        <v>28</v>
      </c>
      <c r="I285" s="15">
        <v>3</v>
      </c>
      <c r="J285" s="16">
        <v>7</v>
      </c>
      <c r="K285" s="15">
        <v>2</v>
      </c>
      <c r="L285" s="29"/>
      <c r="O285" s="3"/>
    </row>
    <row r="286" spans="1:15" x14ac:dyDescent="0.3">
      <c r="A286" s="13" t="s">
        <v>258</v>
      </c>
      <c r="B286" s="13" t="s">
        <v>9</v>
      </c>
      <c r="C286" s="14">
        <v>42815</v>
      </c>
      <c r="D286" s="12">
        <f t="shared" si="4"/>
        <v>1</v>
      </c>
      <c r="E286" s="15">
        <v>264</v>
      </c>
      <c r="F286" s="15">
        <v>244</v>
      </c>
      <c r="G286" s="19">
        <v>343.4</v>
      </c>
      <c r="H286" s="13" t="s">
        <v>28</v>
      </c>
      <c r="I286" s="15">
        <v>5</v>
      </c>
      <c r="J286" s="16" t="s">
        <v>259</v>
      </c>
      <c r="K286" s="15">
        <v>1</v>
      </c>
      <c r="L286" s="29"/>
      <c r="O286" s="3"/>
    </row>
    <row r="287" spans="1:15" x14ac:dyDescent="0.3">
      <c r="A287" s="13" t="s">
        <v>260</v>
      </c>
      <c r="B287" s="13" t="s">
        <v>9</v>
      </c>
      <c r="C287" s="14">
        <v>42815</v>
      </c>
      <c r="D287" s="12">
        <f t="shared" si="4"/>
        <v>1</v>
      </c>
      <c r="E287" s="15">
        <v>230</v>
      </c>
      <c r="F287" s="15">
        <v>200</v>
      </c>
      <c r="G287" s="19">
        <v>249</v>
      </c>
      <c r="H287" s="13" t="s">
        <v>28</v>
      </c>
      <c r="I287" s="15">
        <v>3</v>
      </c>
      <c r="J287" s="16" t="s">
        <v>261</v>
      </c>
      <c r="K287" s="15">
        <v>1</v>
      </c>
      <c r="L287" s="29"/>
      <c r="O287" s="3"/>
    </row>
    <row r="288" spans="1:15" x14ac:dyDescent="0.3">
      <c r="A288" s="13" t="s">
        <v>262</v>
      </c>
      <c r="B288" s="13" t="s">
        <v>9</v>
      </c>
      <c r="C288" s="14">
        <v>42781</v>
      </c>
      <c r="D288" s="12">
        <f t="shared" si="4"/>
        <v>1</v>
      </c>
      <c r="E288" s="15">
        <v>241</v>
      </c>
      <c r="F288" s="15">
        <v>217</v>
      </c>
      <c r="G288" s="19">
        <v>275</v>
      </c>
      <c r="H288" s="13" t="s">
        <v>28</v>
      </c>
      <c r="I288" s="15">
        <v>1</v>
      </c>
      <c r="J288" s="16">
        <v>0.05</v>
      </c>
      <c r="K288" s="15">
        <v>2</v>
      </c>
      <c r="L288" s="29"/>
      <c r="O288" s="3"/>
    </row>
    <row r="289" spans="1:15" x14ac:dyDescent="0.3">
      <c r="A289" s="13" t="s">
        <v>263</v>
      </c>
      <c r="B289" s="13" t="s">
        <v>9</v>
      </c>
      <c r="C289" s="14">
        <v>42781</v>
      </c>
      <c r="D289" s="12">
        <f t="shared" si="4"/>
        <v>1</v>
      </c>
      <c r="E289" s="15">
        <v>301</v>
      </c>
      <c r="F289" s="15">
        <v>279</v>
      </c>
      <c r="G289" s="19">
        <v>611</v>
      </c>
      <c r="H289" s="13" t="s">
        <v>10</v>
      </c>
      <c r="I289" s="15">
        <v>4</v>
      </c>
      <c r="J289" s="16" t="s">
        <v>264</v>
      </c>
      <c r="K289" s="15">
        <v>2</v>
      </c>
      <c r="L289" s="29"/>
      <c r="O289" s="3"/>
    </row>
    <row r="290" spans="1:15" x14ac:dyDescent="0.3">
      <c r="A290" s="13" t="s">
        <v>265</v>
      </c>
      <c r="B290" s="13" t="s">
        <v>9</v>
      </c>
      <c r="C290" s="14">
        <v>42922</v>
      </c>
      <c r="D290" s="12">
        <f t="shared" si="4"/>
        <v>3</v>
      </c>
      <c r="E290" s="15">
        <v>281</v>
      </c>
      <c r="F290" s="15">
        <v>252</v>
      </c>
      <c r="G290" s="19">
        <v>425.5</v>
      </c>
      <c r="H290" s="13" t="s">
        <v>10</v>
      </c>
      <c r="I290" s="15">
        <v>5</v>
      </c>
      <c r="J290" s="16" t="s">
        <v>266</v>
      </c>
      <c r="K290" s="15">
        <v>1</v>
      </c>
      <c r="L290" s="29"/>
      <c r="O290" s="3"/>
    </row>
    <row r="291" spans="1:15" x14ac:dyDescent="0.3">
      <c r="A291" s="13" t="s">
        <v>267</v>
      </c>
      <c r="B291" s="13" t="s">
        <v>9</v>
      </c>
      <c r="C291" s="14">
        <v>42922</v>
      </c>
      <c r="D291" s="12">
        <f t="shared" si="4"/>
        <v>3</v>
      </c>
      <c r="E291" s="15">
        <v>276</v>
      </c>
      <c r="F291" s="15">
        <v>254</v>
      </c>
      <c r="G291" s="19">
        <v>395</v>
      </c>
      <c r="H291" s="13" t="s">
        <v>28</v>
      </c>
      <c r="I291" s="15">
        <v>6</v>
      </c>
      <c r="J291" s="16" t="s">
        <v>268</v>
      </c>
      <c r="K291" s="15">
        <v>1</v>
      </c>
      <c r="L291" s="29"/>
      <c r="O291" s="3"/>
    </row>
    <row r="292" spans="1:15" x14ac:dyDescent="0.3">
      <c r="A292" s="13" t="s">
        <v>269</v>
      </c>
      <c r="B292" s="13" t="s">
        <v>9</v>
      </c>
      <c r="C292" s="14">
        <v>42922</v>
      </c>
      <c r="D292" s="12">
        <f t="shared" si="4"/>
        <v>3</v>
      </c>
      <c r="E292" s="15">
        <v>285</v>
      </c>
      <c r="F292" s="15">
        <v>260</v>
      </c>
      <c r="G292" s="19">
        <v>421.5</v>
      </c>
      <c r="H292" s="13" t="s">
        <v>10</v>
      </c>
      <c r="I292" s="15">
        <v>5</v>
      </c>
      <c r="J292" s="16">
        <v>18</v>
      </c>
      <c r="K292" s="15">
        <v>0</v>
      </c>
      <c r="L292" s="29"/>
      <c r="O292" s="3"/>
    </row>
    <row r="293" spans="1:15" x14ac:dyDescent="0.3">
      <c r="A293" s="13" t="s">
        <v>270</v>
      </c>
      <c r="B293" s="13" t="s">
        <v>9</v>
      </c>
      <c r="C293" s="14">
        <v>42669</v>
      </c>
      <c r="D293" s="12">
        <f t="shared" si="4"/>
        <v>4</v>
      </c>
      <c r="E293" s="15">
        <v>274</v>
      </c>
      <c r="F293" s="15">
        <v>252</v>
      </c>
      <c r="G293" s="19">
        <v>378</v>
      </c>
      <c r="H293" s="13" t="s">
        <v>10</v>
      </c>
      <c r="I293" s="15">
        <v>7</v>
      </c>
      <c r="J293" s="16" t="s">
        <v>271</v>
      </c>
      <c r="K293" s="15">
        <v>1</v>
      </c>
      <c r="L293" s="29"/>
      <c r="O293" s="3"/>
    </row>
    <row r="294" spans="1:15" x14ac:dyDescent="0.3">
      <c r="A294" s="13" t="s">
        <v>272</v>
      </c>
      <c r="B294" s="13" t="s">
        <v>9</v>
      </c>
      <c r="C294" s="14">
        <v>43034</v>
      </c>
      <c r="D294" s="12">
        <f t="shared" si="4"/>
        <v>4</v>
      </c>
      <c r="E294" s="15">
        <v>240</v>
      </c>
      <c r="F294" s="15">
        <v>215</v>
      </c>
      <c r="G294" s="19">
        <v>253</v>
      </c>
      <c r="H294" s="13" t="s">
        <v>10</v>
      </c>
      <c r="I294" s="15">
        <v>1</v>
      </c>
      <c r="J294" s="16">
        <v>0.05</v>
      </c>
      <c r="K294" s="15">
        <v>2</v>
      </c>
      <c r="L294" s="29"/>
      <c r="O294" s="3"/>
    </row>
    <row r="295" spans="1:15" x14ac:dyDescent="0.3">
      <c r="A295" s="13" t="s">
        <v>273</v>
      </c>
      <c r="B295" s="13" t="s">
        <v>9</v>
      </c>
      <c r="C295" s="14">
        <v>42722</v>
      </c>
      <c r="D295" s="12">
        <f t="shared" si="4"/>
        <v>4</v>
      </c>
      <c r="E295" s="15">
        <v>265</v>
      </c>
      <c r="F295" s="15">
        <v>250</v>
      </c>
      <c r="G295" s="19">
        <v>400</v>
      </c>
      <c r="H295" s="13" t="s">
        <v>28</v>
      </c>
      <c r="I295" s="15">
        <v>2</v>
      </c>
      <c r="J295" s="16" t="s">
        <v>274</v>
      </c>
      <c r="K295" s="15">
        <v>1</v>
      </c>
      <c r="L295" s="29"/>
      <c r="O295" s="3"/>
    </row>
    <row r="296" spans="1:15" x14ac:dyDescent="0.3">
      <c r="A296" s="13" t="s">
        <v>275</v>
      </c>
      <c r="B296" s="13" t="s">
        <v>9</v>
      </c>
      <c r="C296" s="14">
        <v>42781</v>
      </c>
      <c r="D296" s="12">
        <f t="shared" si="4"/>
        <v>1</v>
      </c>
      <c r="E296" s="15">
        <v>283</v>
      </c>
      <c r="F296" s="15">
        <v>251</v>
      </c>
      <c r="G296" s="19">
        <v>471</v>
      </c>
      <c r="H296" s="13" t="s">
        <v>10</v>
      </c>
      <c r="I296" s="15">
        <v>3</v>
      </c>
      <c r="J296" s="16" t="s">
        <v>276</v>
      </c>
      <c r="K296" s="15">
        <v>1</v>
      </c>
      <c r="L296" s="29"/>
      <c r="O296" s="3"/>
    </row>
    <row r="297" spans="1:15" x14ac:dyDescent="0.3">
      <c r="A297" s="13" t="s">
        <v>277</v>
      </c>
      <c r="B297" s="13" t="s">
        <v>9</v>
      </c>
      <c r="C297" s="14">
        <v>42815</v>
      </c>
      <c r="D297" s="12">
        <f t="shared" si="4"/>
        <v>1</v>
      </c>
      <c r="E297" s="15">
        <v>277</v>
      </c>
      <c r="F297" s="15">
        <v>235</v>
      </c>
      <c r="G297" s="19">
        <v>398.5</v>
      </c>
      <c r="H297" s="13" t="s">
        <v>28</v>
      </c>
      <c r="I297" s="15">
        <v>5</v>
      </c>
      <c r="J297" s="16" t="s">
        <v>278</v>
      </c>
      <c r="K297" s="15">
        <v>1</v>
      </c>
      <c r="L297" s="29"/>
      <c r="O297" s="3"/>
    </row>
    <row r="298" spans="1:15" x14ac:dyDescent="0.3">
      <c r="A298" s="13" t="s">
        <v>279</v>
      </c>
      <c r="B298" s="13" t="s">
        <v>9</v>
      </c>
      <c r="C298" s="14">
        <v>42815</v>
      </c>
      <c r="D298" s="12">
        <f t="shared" si="4"/>
        <v>1</v>
      </c>
      <c r="E298" s="15">
        <v>235</v>
      </c>
      <c r="F298" s="15">
        <v>213</v>
      </c>
      <c r="G298" s="19">
        <v>257</v>
      </c>
      <c r="H298" s="13" t="s">
        <v>10</v>
      </c>
      <c r="I298" s="15">
        <v>2</v>
      </c>
      <c r="J298" s="16" t="s">
        <v>280</v>
      </c>
      <c r="K298" s="15">
        <v>0</v>
      </c>
      <c r="L298" s="29"/>
      <c r="O298" s="3"/>
    </row>
    <row r="299" spans="1:15" x14ac:dyDescent="0.3">
      <c r="A299" s="13" t="s">
        <v>281</v>
      </c>
      <c r="B299" s="13" t="s">
        <v>9</v>
      </c>
      <c r="C299" s="14">
        <v>42125</v>
      </c>
      <c r="D299" s="12">
        <f t="shared" si="4"/>
        <v>2</v>
      </c>
      <c r="E299" s="15">
        <v>272</v>
      </c>
      <c r="F299" s="15">
        <v>260</v>
      </c>
      <c r="G299" s="19">
        <v>439</v>
      </c>
      <c r="H299" s="13" t="s">
        <v>28</v>
      </c>
      <c r="I299" s="15">
        <v>5</v>
      </c>
      <c r="J299" s="16" t="s">
        <v>282</v>
      </c>
      <c r="K299" s="15">
        <v>1</v>
      </c>
      <c r="L299" s="29"/>
      <c r="O299" s="3"/>
    </row>
    <row r="300" spans="1:15" x14ac:dyDescent="0.3">
      <c r="A300" s="13" t="s">
        <v>283</v>
      </c>
      <c r="B300" s="13" t="s">
        <v>9</v>
      </c>
      <c r="C300" s="14">
        <v>42781</v>
      </c>
      <c r="D300" s="12">
        <f t="shared" si="4"/>
        <v>1</v>
      </c>
      <c r="E300" s="15">
        <v>157</v>
      </c>
      <c r="F300" s="15">
        <v>137</v>
      </c>
      <c r="G300" s="19">
        <v>74.5</v>
      </c>
      <c r="H300" s="13" t="s">
        <v>143</v>
      </c>
      <c r="I300" s="15">
        <v>1</v>
      </c>
      <c r="J300" s="16">
        <v>0.2</v>
      </c>
      <c r="K300" s="15">
        <v>1</v>
      </c>
      <c r="L300" s="29"/>
      <c r="O300" s="3"/>
    </row>
    <row r="301" spans="1:15" x14ac:dyDescent="0.3">
      <c r="A301" s="13" t="s">
        <v>284</v>
      </c>
      <c r="B301" s="13" t="s">
        <v>9</v>
      </c>
      <c r="C301" s="14">
        <v>42669</v>
      </c>
      <c r="D301" s="12">
        <f t="shared" si="4"/>
        <v>4</v>
      </c>
      <c r="E301" s="15">
        <v>136</v>
      </c>
      <c r="F301" s="15">
        <v>128</v>
      </c>
      <c r="G301" s="19">
        <v>50.5</v>
      </c>
      <c r="H301" s="13" t="s">
        <v>10</v>
      </c>
      <c r="I301" s="15">
        <v>1</v>
      </c>
      <c r="J301" s="16">
        <v>0.2</v>
      </c>
      <c r="K301" s="15">
        <v>0</v>
      </c>
      <c r="L301" s="29"/>
      <c r="O301" s="3"/>
    </row>
    <row r="302" spans="1:15" x14ac:dyDescent="0.3">
      <c r="A302" s="13" t="s">
        <v>285</v>
      </c>
      <c r="B302" s="13" t="s">
        <v>9</v>
      </c>
      <c r="C302" s="14">
        <v>42722</v>
      </c>
      <c r="D302" s="12">
        <f t="shared" si="4"/>
        <v>4</v>
      </c>
      <c r="E302" s="15">
        <v>202</v>
      </c>
      <c r="F302" s="15">
        <v>183</v>
      </c>
      <c r="G302" s="19">
        <v>156</v>
      </c>
      <c r="H302" s="13" t="s">
        <v>10</v>
      </c>
      <c r="I302" s="15">
        <v>2</v>
      </c>
      <c r="J302" s="16">
        <v>1</v>
      </c>
      <c r="K302" s="15">
        <v>1</v>
      </c>
      <c r="L302" s="29"/>
      <c r="O302" s="3"/>
    </row>
    <row r="303" spans="1:15" x14ac:dyDescent="0.3">
      <c r="A303" s="13" t="s">
        <v>286</v>
      </c>
      <c r="B303" s="13" t="s">
        <v>9</v>
      </c>
      <c r="C303" s="14">
        <v>42669</v>
      </c>
      <c r="D303" s="12">
        <f t="shared" si="4"/>
        <v>4</v>
      </c>
      <c r="E303" s="15">
        <v>160</v>
      </c>
      <c r="F303" s="15">
        <v>144</v>
      </c>
      <c r="G303" s="19">
        <v>79</v>
      </c>
      <c r="H303" s="13" t="s">
        <v>143</v>
      </c>
      <c r="I303" s="15">
        <v>1</v>
      </c>
      <c r="J303" s="16">
        <v>0.1</v>
      </c>
      <c r="K303" s="15">
        <v>1</v>
      </c>
      <c r="L303" s="29"/>
      <c r="O303" s="3"/>
    </row>
    <row r="304" spans="1:15" x14ac:dyDescent="0.3">
      <c r="A304" s="13" t="s">
        <v>287</v>
      </c>
      <c r="B304" s="13" t="s">
        <v>9</v>
      </c>
      <c r="C304" s="14">
        <v>42669</v>
      </c>
      <c r="D304" s="12">
        <f t="shared" si="4"/>
        <v>4</v>
      </c>
      <c r="E304" s="15">
        <v>223</v>
      </c>
      <c r="F304" s="15">
        <v>201</v>
      </c>
      <c r="G304" s="19">
        <v>229</v>
      </c>
      <c r="H304" s="13" t="s">
        <v>28</v>
      </c>
      <c r="I304" s="15">
        <v>1</v>
      </c>
      <c r="J304" s="16">
        <v>0.3</v>
      </c>
      <c r="K304" s="15">
        <v>2</v>
      </c>
      <c r="L304" s="29"/>
      <c r="O304" s="3"/>
    </row>
    <row r="305" spans="1:15" x14ac:dyDescent="0.3">
      <c r="A305" s="13" t="s">
        <v>288</v>
      </c>
      <c r="B305" s="13" t="s">
        <v>9</v>
      </c>
      <c r="C305" s="14">
        <v>42781</v>
      </c>
      <c r="D305" s="12">
        <f t="shared" si="4"/>
        <v>1</v>
      </c>
      <c r="E305" s="15">
        <v>195</v>
      </c>
      <c r="F305" s="15">
        <v>174</v>
      </c>
      <c r="G305" s="19">
        <v>153</v>
      </c>
      <c r="H305" s="13" t="s">
        <v>10</v>
      </c>
      <c r="I305" s="15">
        <v>2</v>
      </c>
      <c r="J305" s="16" t="s">
        <v>289</v>
      </c>
      <c r="K305" s="15">
        <v>0</v>
      </c>
      <c r="L305" s="29"/>
      <c r="O305" s="3"/>
    </row>
    <row r="306" spans="1:15" x14ac:dyDescent="0.3">
      <c r="A306" s="13" t="s">
        <v>290</v>
      </c>
      <c r="B306" s="13" t="s">
        <v>9</v>
      </c>
      <c r="C306" s="14">
        <v>42669</v>
      </c>
      <c r="D306" s="12">
        <f t="shared" si="4"/>
        <v>4</v>
      </c>
      <c r="E306" s="15">
        <v>177</v>
      </c>
      <c r="F306" s="15">
        <v>165</v>
      </c>
      <c r="G306" s="19">
        <v>117.8</v>
      </c>
      <c r="H306" s="13" t="s">
        <v>10</v>
      </c>
      <c r="I306" s="15">
        <v>2</v>
      </c>
      <c r="J306" s="16" t="s">
        <v>291</v>
      </c>
      <c r="K306" s="15">
        <v>1</v>
      </c>
      <c r="L306" s="29"/>
      <c r="O306" s="3"/>
    </row>
    <row r="307" spans="1:15" x14ac:dyDescent="0.3">
      <c r="A307" s="13" t="s">
        <v>292</v>
      </c>
      <c r="B307" s="13" t="s">
        <v>9</v>
      </c>
      <c r="C307" s="14">
        <v>42922</v>
      </c>
      <c r="D307" s="12">
        <f t="shared" si="4"/>
        <v>3</v>
      </c>
      <c r="E307" s="15">
        <v>202</v>
      </c>
      <c r="F307" s="15">
        <v>185</v>
      </c>
      <c r="G307" s="19">
        <v>156</v>
      </c>
      <c r="H307" s="13" t="s">
        <v>10</v>
      </c>
      <c r="I307" s="15">
        <v>3</v>
      </c>
      <c r="J307" s="16">
        <v>1</v>
      </c>
      <c r="K307" s="15">
        <v>2</v>
      </c>
      <c r="L307" s="29"/>
      <c r="O307" s="3"/>
    </row>
    <row r="308" spans="1:15" x14ac:dyDescent="0.3">
      <c r="A308" s="13" t="s">
        <v>293</v>
      </c>
      <c r="B308" s="13" t="s">
        <v>9</v>
      </c>
      <c r="C308" s="14">
        <v>42922</v>
      </c>
      <c r="D308" s="12">
        <f t="shared" si="4"/>
        <v>3</v>
      </c>
      <c r="E308" s="15">
        <v>204</v>
      </c>
      <c r="F308" s="15">
        <v>186</v>
      </c>
      <c r="G308" s="19">
        <v>171</v>
      </c>
      <c r="H308" s="13" t="s">
        <v>28</v>
      </c>
      <c r="I308" s="15">
        <v>3</v>
      </c>
      <c r="J308" s="16" t="s">
        <v>289</v>
      </c>
      <c r="K308" s="15">
        <v>1</v>
      </c>
      <c r="L308" s="29"/>
      <c r="O308" s="3"/>
    </row>
    <row r="309" spans="1:15" x14ac:dyDescent="0.3">
      <c r="A309" s="13" t="s">
        <v>294</v>
      </c>
      <c r="B309" s="13" t="s">
        <v>9</v>
      </c>
      <c r="C309" s="14">
        <v>42710</v>
      </c>
      <c r="D309" s="12">
        <f t="shared" si="4"/>
        <v>4</v>
      </c>
      <c r="E309" s="15">
        <v>170</v>
      </c>
      <c r="F309" s="15">
        <v>158</v>
      </c>
      <c r="G309" s="19">
        <v>107</v>
      </c>
      <c r="H309" s="13" t="s">
        <v>10</v>
      </c>
      <c r="I309" s="15">
        <v>2</v>
      </c>
      <c r="J309" s="16" t="s">
        <v>295</v>
      </c>
      <c r="K309" s="15">
        <v>2</v>
      </c>
      <c r="L309" s="29"/>
      <c r="O309" s="3"/>
    </row>
    <row r="310" spans="1:15" x14ac:dyDescent="0.3">
      <c r="A310" s="13" t="s">
        <v>296</v>
      </c>
      <c r="B310" s="13" t="s">
        <v>9</v>
      </c>
      <c r="C310" s="14">
        <v>42815</v>
      </c>
      <c r="D310" s="12">
        <f t="shared" si="4"/>
        <v>1</v>
      </c>
      <c r="E310" s="15">
        <v>221</v>
      </c>
      <c r="F310" s="15">
        <v>202</v>
      </c>
      <c r="G310" s="19">
        <v>208</v>
      </c>
      <c r="H310" s="13" t="s">
        <v>10</v>
      </c>
      <c r="I310" s="15">
        <v>3</v>
      </c>
      <c r="J310" s="16">
        <v>4</v>
      </c>
      <c r="K310" s="15">
        <v>1</v>
      </c>
      <c r="L310" s="29"/>
      <c r="O310" s="3"/>
    </row>
    <row r="311" spans="1:15" x14ac:dyDescent="0.3">
      <c r="A311" s="13" t="s">
        <v>297</v>
      </c>
      <c r="B311" s="13" t="s">
        <v>9</v>
      </c>
      <c r="C311" s="14">
        <v>42815</v>
      </c>
      <c r="D311" s="12">
        <f t="shared" si="4"/>
        <v>1</v>
      </c>
      <c r="E311" s="15">
        <v>243</v>
      </c>
      <c r="F311" s="15">
        <v>217</v>
      </c>
      <c r="G311" s="19">
        <v>243.6</v>
      </c>
      <c r="H311" s="13" t="s">
        <v>28</v>
      </c>
      <c r="I311" s="15">
        <v>4</v>
      </c>
      <c r="J311" s="16" t="s">
        <v>298</v>
      </c>
      <c r="K311" s="15">
        <v>0</v>
      </c>
      <c r="L311" s="29"/>
      <c r="O311" s="3"/>
    </row>
    <row r="312" spans="1:15" x14ac:dyDescent="0.3">
      <c r="A312" s="13" t="s">
        <v>299</v>
      </c>
      <c r="B312" s="13" t="s">
        <v>9</v>
      </c>
      <c r="C312" s="14">
        <v>42710</v>
      </c>
      <c r="D312" s="12">
        <f t="shared" si="4"/>
        <v>4</v>
      </c>
      <c r="E312" s="15">
        <v>180</v>
      </c>
      <c r="F312" s="15">
        <v>172</v>
      </c>
      <c r="G312" s="19">
        <v>127</v>
      </c>
      <c r="H312" s="13" t="s">
        <v>143</v>
      </c>
      <c r="I312" s="15">
        <v>1</v>
      </c>
      <c r="J312" s="16">
        <v>0.1</v>
      </c>
      <c r="K312" s="15">
        <v>2</v>
      </c>
      <c r="L312" s="29"/>
      <c r="O312" s="3"/>
    </row>
    <row r="313" spans="1:15" x14ac:dyDescent="0.3">
      <c r="A313" s="13" t="s">
        <v>300</v>
      </c>
      <c r="B313" s="13" t="s">
        <v>9</v>
      </c>
      <c r="C313" s="14">
        <v>42781</v>
      </c>
      <c r="D313" s="12">
        <f t="shared" si="4"/>
        <v>1</v>
      </c>
      <c r="E313" s="15">
        <v>202</v>
      </c>
      <c r="F313" s="15">
        <v>182</v>
      </c>
      <c r="G313" s="19">
        <v>159</v>
      </c>
      <c r="H313" s="13" t="s">
        <v>10</v>
      </c>
      <c r="I313" s="15">
        <v>1</v>
      </c>
      <c r="J313" s="16">
        <v>1</v>
      </c>
      <c r="K313" s="15">
        <v>1</v>
      </c>
      <c r="L313" s="29"/>
      <c r="O313" s="3"/>
    </row>
    <row r="314" spans="1:15" x14ac:dyDescent="0.3">
      <c r="A314" s="13" t="s">
        <v>301</v>
      </c>
      <c r="B314" s="13" t="s">
        <v>9</v>
      </c>
      <c r="C314" s="14">
        <v>42781</v>
      </c>
      <c r="D314" s="12">
        <f t="shared" si="4"/>
        <v>1</v>
      </c>
      <c r="E314" s="15">
        <v>213</v>
      </c>
      <c r="F314" s="15">
        <v>195</v>
      </c>
      <c r="G314" s="19">
        <v>136</v>
      </c>
      <c r="H314" s="13" t="s">
        <v>28</v>
      </c>
      <c r="I314" s="15">
        <v>2</v>
      </c>
      <c r="J314" s="16" t="s">
        <v>302</v>
      </c>
      <c r="K314" s="15">
        <v>0</v>
      </c>
      <c r="L314" s="29"/>
      <c r="O314" s="3"/>
    </row>
    <row r="315" spans="1:15" x14ac:dyDescent="0.3">
      <c r="A315" s="13" t="s">
        <v>303</v>
      </c>
      <c r="B315" s="13" t="s">
        <v>9</v>
      </c>
      <c r="C315" s="14">
        <v>42781</v>
      </c>
      <c r="D315" s="12">
        <f t="shared" si="4"/>
        <v>1</v>
      </c>
      <c r="E315" s="15">
        <v>189</v>
      </c>
      <c r="F315" s="15">
        <v>168</v>
      </c>
      <c r="G315" s="19">
        <v>127</v>
      </c>
      <c r="H315" s="13" t="s">
        <v>10</v>
      </c>
      <c r="I315" s="15">
        <v>2</v>
      </c>
      <c r="J315" s="16" t="s">
        <v>291</v>
      </c>
      <c r="K315" s="15">
        <v>1</v>
      </c>
      <c r="L315" s="29"/>
      <c r="O315" s="3"/>
    </row>
    <row r="316" spans="1:15" x14ac:dyDescent="0.3">
      <c r="A316" s="13" t="s">
        <v>304</v>
      </c>
      <c r="B316" s="13" t="s">
        <v>9</v>
      </c>
      <c r="C316" s="14">
        <v>42722</v>
      </c>
      <c r="D316" s="12">
        <f t="shared" si="4"/>
        <v>4</v>
      </c>
      <c r="E316" s="15">
        <v>188</v>
      </c>
      <c r="F316" s="15">
        <v>174</v>
      </c>
      <c r="G316" s="19">
        <v>138</v>
      </c>
      <c r="H316" s="13" t="s">
        <v>10</v>
      </c>
      <c r="I316" s="15">
        <v>1</v>
      </c>
      <c r="J316" s="16" t="s">
        <v>305</v>
      </c>
      <c r="K316" s="15">
        <v>0</v>
      </c>
      <c r="L316" s="29"/>
      <c r="O316" s="3"/>
    </row>
    <row r="317" spans="1:15" x14ac:dyDescent="0.3">
      <c r="A317" s="13" t="s">
        <v>306</v>
      </c>
      <c r="B317" s="13" t="s">
        <v>9</v>
      </c>
      <c r="C317" s="14">
        <v>42781</v>
      </c>
      <c r="D317" s="12">
        <f t="shared" si="4"/>
        <v>1</v>
      </c>
      <c r="E317" s="15">
        <v>177</v>
      </c>
      <c r="F317" s="15">
        <v>162</v>
      </c>
      <c r="G317" s="19">
        <v>119</v>
      </c>
      <c r="H317" s="13" t="s">
        <v>10</v>
      </c>
      <c r="I317" s="15">
        <v>2</v>
      </c>
      <c r="J317" s="16">
        <v>1</v>
      </c>
      <c r="K317" s="15">
        <v>1</v>
      </c>
      <c r="L317" s="29"/>
      <c r="O317" s="3"/>
    </row>
    <row r="318" spans="1:15" x14ac:dyDescent="0.3">
      <c r="A318" s="13" t="s">
        <v>307</v>
      </c>
      <c r="B318" s="13" t="s">
        <v>9</v>
      </c>
      <c r="C318" s="14">
        <v>43034</v>
      </c>
      <c r="D318" s="12">
        <f t="shared" si="4"/>
        <v>4</v>
      </c>
      <c r="E318" s="15">
        <v>175</v>
      </c>
      <c r="F318" s="15">
        <v>156</v>
      </c>
      <c r="G318" s="19">
        <v>98.5</v>
      </c>
      <c r="H318" s="13" t="s">
        <v>10</v>
      </c>
      <c r="I318" s="15">
        <v>2</v>
      </c>
      <c r="J318" s="16" t="s">
        <v>308</v>
      </c>
      <c r="K318" s="15">
        <v>1</v>
      </c>
      <c r="L318" s="29"/>
      <c r="O318" s="3"/>
    </row>
    <row r="319" spans="1:15" x14ac:dyDescent="0.3">
      <c r="A319" s="1" t="s">
        <v>309</v>
      </c>
      <c r="B319" s="1" t="s">
        <v>9</v>
      </c>
      <c r="C319" s="14">
        <v>43051</v>
      </c>
      <c r="D319" s="12">
        <f t="shared" si="4"/>
        <v>4</v>
      </c>
      <c r="E319" s="1">
        <v>201</v>
      </c>
      <c r="F319" s="1">
        <v>188</v>
      </c>
      <c r="G319" s="19">
        <v>149.80000000000001</v>
      </c>
      <c r="H319" s="13" t="s">
        <v>10</v>
      </c>
      <c r="I319" s="1">
        <v>6</v>
      </c>
      <c r="J319" s="6">
        <v>5.0999999999999996</v>
      </c>
      <c r="K319" s="1">
        <v>1</v>
      </c>
      <c r="L319" s="29"/>
      <c r="O319" s="3"/>
    </row>
    <row r="320" spans="1:15" x14ac:dyDescent="0.3">
      <c r="A320" s="1" t="s">
        <v>310</v>
      </c>
      <c r="B320" s="1" t="s">
        <v>9</v>
      </c>
      <c r="C320" s="14">
        <v>43051</v>
      </c>
      <c r="D320" s="12">
        <f t="shared" si="4"/>
        <v>4</v>
      </c>
      <c r="E320" s="1">
        <v>261</v>
      </c>
      <c r="F320" s="1">
        <v>235</v>
      </c>
      <c r="G320" s="19">
        <v>354.6</v>
      </c>
      <c r="H320" s="13" t="s">
        <v>10</v>
      </c>
      <c r="I320" s="1">
        <v>3</v>
      </c>
      <c r="J320" s="6">
        <v>6.1</v>
      </c>
      <c r="K320" s="1">
        <v>3</v>
      </c>
      <c r="L320" s="29"/>
      <c r="O320" s="3"/>
    </row>
    <row r="321" spans="1:15" x14ac:dyDescent="0.3">
      <c r="A321" s="1" t="s">
        <v>311</v>
      </c>
      <c r="B321" s="1" t="s">
        <v>9</v>
      </c>
      <c r="C321" s="14">
        <v>42764</v>
      </c>
      <c r="D321" s="12">
        <f t="shared" si="4"/>
        <v>1</v>
      </c>
      <c r="E321" s="1">
        <v>197</v>
      </c>
      <c r="F321" s="1">
        <v>179</v>
      </c>
      <c r="G321" s="19">
        <v>146.6</v>
      </c>
      <c r="H321" s="13" t="s">
        <v>28</v>
      </c>
      <c r="I321" s="1">
        <v>2</v>
      </c>
      <c r="J321" s="6">
        <v>0.218</v>
      </c>
      <c r="K321" s="1">
        <v>1</v>
      </c>
      <c r="L321" s="29"/>
      <c r="O321" s="3"/>
    </row>
    <row r="322" spans="1:15" x14ac:dyDescent="0.3">
      <c r="A322" s="1" t="s">
        <v>312</v>
      </c>
      <c r="B322" s="1" t="s">
        <v>9</v>
      </c>
      <c r="C322" s="14">
        <v>43098</v>
      </c>
      <c r="D322" s="12">
        <f t="shared" ref="D322:D385" si="5">ROUNDUP(MONTH(C322)/3,0)</f>
        <v>4</v>
      </c>
      <c r="E322" s="1">
        <v>180</v>
      </c>
      <c r="F322" s="1">
        <v>160</v>
      </c>
      <c r="G322" s="19">
        <v>109.6</v>
      </c>
      <c r="H322" s="13" t="s">
        <v>28</v>
      </c>
      <c r="I322" s="1">
        <v>1</v>
      </c>
      <c r="J322" s="6">
        <v>0.26100000000000001</v>
      </c>
      <c r="K322" s="1">
        <v>2</v>
      </c>
      <c r="L322" s="29"/>
      <c r="O322" s="3"/>
    </row>
    <row r="323" spans="1:15" x14ac:dyDescent="0.3">
      <c r="A323" s="1" t="s">
        <v>313</v>
      </c>
      <c r="B323" s="1" t="s">
        <v>9</v>
      </c>
      <c r="C323" s="14">
        <v>42823</v>
      </c>
      <c r="D323" s="12">
        <f t="shared" si="5"/>
        <v>1</v>
      </c>
      <c r="E323" s="1">
        <v>185</v>
      </c>
      <c r="F323" s="1">
        <v>172</v>
      </c>
      <c r="G323" s="19">
        <v>132.1</v>
      </c>
      <c r="H323" s="13" t="s">
        <v>10</v>
      </c>
      <c r="I323" s="1">
        <v>2</v>
      </c>
      <c r="J323" s="6">
        <v>0.87</v>
      </c>
      <c r="K323" s="1">
        <v>2</v>
      </c>
      <c r="L323" s="29"/>
      <c r="O323" s="3"/>
    </row>
    <row r="324" spans="1:15" x14ac:dyDescent="0.3">
      <c r="A324" s="1" t="s">
        <v>314</v>
      </c>
      <c r="B324" s="1" t="s">
        <v>9</v>
      </c>
      <c r="C324" s="14">
        <v>43098</v>
      </c>
      <c r="D324" s="12">
        <f t="shared" si="5"/>
        <v>4</v>
      </c>
      <c r="E324" s="1">
        <v>210</v>
      </c>
      <c r="F324" s="1">
        <v>189</v>
      </c>
      <c r="G324" s="19">
        <v>158.19999999999999</v>
      </c>
      <c r="H324" s="13" t="s">
        <v>28</v>
      </c>
      <c r="I324" s="1">
        <v>2</v>
      </c>
      <c r="J324" s="6">
        <v>0.14599999999999999</v>
      </c>
      <c r="K324" s="1">
        <v>2</v>
      </c>
      <c r="L324" s="29"/>
      <c r="O324" s="3"/>
    </row>
    <row r="325" spans="1:15" x14ac:dyDescent="0.3">
      <c r="A325" s="1" t="s">
        <v>315</v>
      </c>
      <c r="B325" s="1" t="s">
        <v>9</v>
      </c>
      <c r="C325" s="14">
        <v>43098</v>
      </c>
      <c r="D325" s="12">
        <f t="shared" si="5"/>
        <v>4</v>
      </c>
      <c r="E325" s="1">
        <v>293</v>
      </c>
      <c r="F325" s="1">
        <v>266</v>
      </c>
      <c r="G325" s="19">
        <v>486.8</v>
      </c>
      <c r="H325" s="13" t="s">
        <v>28</v>
      </c>
      <c r="I325" s="1">
        <v>3</v>
      </c>
      <c r="J325" s="6">
        <v>1.55</v>
      </c>
      <c r="K325" s="1">
        <v>2</v>
      </c>
      <c r="L325" s="29"/>
      <c r="O325" s="3"/>
    </row>
    <row r="326" spans="1:15" x14ac:dyDescent="0.3">
      <c r="A326" s="1" t="s">
        <v>316</v>
      </c>
      <c r="B326" s="1" t="s">
        <v>9</v>
      </c>
      <c r="C326" s="14">
        <v>43098</v>
      </c>
      <c r="D326" s="12">
        <f t="shared" si="5"/>
        <v>4</v>
      </c>
      <c r="E326" s="1">
        <v>209</v>
      </c>
      <c r="F326" s="1">
        <v>193</v>
      </c>
      <c r="G326" s="19">
        <v>211</v>
      </c>
      <c r="H326" s="13" t="s">
        <v>28</v>
      </c>
      <c r="I326" s="1">
        <v>2</v>
      </c>
      <c r="J326" s="6">
        <v>0.1</v>
      </c>
      <c r="K326" s="1">
        <v>2</v>
      </c>
      <c r="L326" s="29"/>
      <c r="O326" s="3"/>
    </row>
    <row r="327" spans="1:15" x14ac:dyDescent="0.3">
      <c r="A327" s="1" t="s">
        <v>317</v>
      </c>
      <c r="B327" s="1" t="s">
        <v>9</v>
      </c>
      <c r="C327" s="14">
        <v>43197</v>
      </c>
      <c r="D327" s="12">
        <f t="shared" si="5"/>
        <v>2</v>
      </c>
      <c r="E327" s="1">
        <v>193</v>
      </c>
      <c r="F327" s="1">
        <v>179</v>
      </c>
      <c r="G327" s="19">
        <v>141.80000000000001</v>
      </c>
      <c r="H327" s="13" t="s">
        <v>28</v>
      </c>
      <c r="I327" s="1">
        <v>3</v>
      </c>
      <c r="J327" s="6">
        <v>0.83699999999999997</v>
      </c>
      <c r="K327" s="1">
        <v>1</v>
      </c>
      <c r="L327" s="29"/>
      <c r="O327" s="3"/>
    </row>
    <row r="328" spans="1:15" x14ac:dyDescent="0.3">
      <c r="A328" s="1" t="s">
        <v>318</v>
      </c>
      <c r="B328" s="1" t="s">
        <v>9</v>
      </c>
      <c r="C328" s="14">
        <v>43197</v>
      </c>
      <c r="D328" s="12">
        <f t="shared" si="5"/>
        <v>2</v>
      </c>
      <c r="E328" s="1">
        <v>207</v>
      </c>
      <c r="F328" s="1">
        <v>191</v>
      </c>
      <c r="G328" s="19">
        <v>172</v>
      </c>
      <c r="H328" s="13" t="s">
        <v>28</v>
      </c>
      <c r="I328" s="1">
        <v>4</v>
      </c>
      <c r="J328" s="6">
        <v>0.36</v>
      </c>
      <c r="K328" s="1">
        <v>1</v>
      </c>
      <c r="L328" s="29"/>
      <c r="O328" s="3"/>
    </row>
    <row r="329" spans="1:15" x14ac:dyDescent="0.3">
      <c r="A329" s="1" t="s">
        <v>319</v>
      </c>
      <c r="B329" s="1" t="s">
        <v>9</v>
      </c>
      <c r="C329" s="14">
        <v>43197</v>
      </c>
      <c r="D329" s="12">
        <f t="shared" si="5"/>
        <v>2</v>
      </c>
      <c r="E329" s="1">
        <v>199</v>
      </c>
      <c r="F329" s="1">
        <v>185</v>
      </c>
      <c r="G329" s="19">
        <v>167</v>
      </c>
      <c r="H329" s="13" t="s">
        <v>10</v>
      </c>
      <c r="I329" s="1">
        <v>3</v>
      </c>
      <c r="J329" s="6">
        <v>0.81299999999999994</v>
      </c>
      <c r="K329" s="1">
        <v>2</v>
      </c>
      <c r="L329" s="29"/>
      <c r="O329" s="3"/>
    </row>
    <row r="330" spans="1:15" x14ac:dyDescent="0.3">
      <c r="A330" s="1" t="s">
        <v>320</v>
      </c>
      <c r="B330" s="1" t="s">
        <v>9</v>
      </c>
      <c r="C330" s="14">
        <v>42832</v>
      </c>
      <c r="D330" s="12">
        <f t="shared" si="5"/>
        <v>2</v>
      </c>
      <c r="E330" s="1">
        <v>200</v>
      </c>
      <c r="F330" s="1">
        <v>182</v>
      </c>
      <c r="G330" s="19">
        <v>155.6</v>
      </c>
      <c r="H330" s="13" t="s">
        <v>10</v>
      </c>
      <c r="I330" s="1">
        <v>3</v>
      </c>
      <c r="J330" s="6">
        <v>0.81</v>
      </c>
      <c r="K330" s="1">
        <v>2</v>
      </c>
      <c r="L330" s="29"/>
      <c r="O330" s="3"/>
    </row>
    <row r="331" spans="1:15" x14ac:dyDescent="0.3">
      <c r="A331" s="1" t="s">
        <v>321</v>
      </c>
      <c r="B331" s="1" t="s">
        <v>9</v>
      </c>
      <c r="C331" s="14">
        <v>43197</v>
      </c>
      <c r="D331" s="12">
        <f t="shared" si="5"/>
        <v>2</v>
      </c>
      <c r="E331" s="1">
        <v>172</v>
      </c>
      <c r="F331" s="1">
        <v>160</v>
      </c>
      <c r="G331" s="19">
        <v>110</v>
      </c>
      <c r="H331" s="13" t="s">
        <v>28</v>
      </c>
      <c r="I331" s="1">
        <v>2</v>
      </c>
      <c r="J331" s="6">
        <v>0.20399999999999999</v>
      </c>
      <c r="K331" s="1">
        <v>2</v>
      </c>
      <c r="L331" s="29"/>
      <c r="O331" s="3"/>
    </row>
    <row r="332" spans="1:15" x14ac:dyDescent="0.3">
      <c r="A332" s="1" t="s">
        <v>322</v>
      </c>
      <c r="B332" s="1" t="s">
        <v>9</v>
      </c>
      <c r="C332" s="14">
        <v>43197</v>
      </c>
      <c r="D332" s="12">
        <f t="shared" si="5"/>
        <v>2</v>
      </c>
      <c r="E332" s="1">
        <v>308</v>
      </c>
      <c r="F332" s="1">
        <v>279</v>
      </c>
      <c r="G332" s="19">
        <v>636.6</v>
      </c>
      <c r="H332" s="13" t="s">
        <v>10</v>
      </c>
      <c r="I332" s="1">
        <v>4</v>
      </c>
      <c r="J332" s="6">
        <v>36.090000000000003</v>
      </c>
      <c r="K332" s="1">
        <v>1</v>
      </c>
      <c r="L332" s="29"/>
      <c r="O332" s="3"/>
    </row>
    <row r="333" spans="1:15" x14ac:dyDescent="0.3">
      <c r="A333" s="1" t="s">
        <v>323</v>
      </c>
      <c r="B333" s="1" t="s">
        <v>9</v>
      </c>
      <c r="C333" s="14">
        <v>43098</v>
      </c>
      <c r="D333" s="12">
        <f t="shared" si="5"/>
        <v>4</v>
      </c>
      <c r="E333" s="1">
        <v>292</v>
      </c>
      <c r="F333" s="1">
        <v>263</v>
      </c>
      <c r="G333" s="19">
        <v>488.3</v>
      </c>
      <c r="H333" s="13" t="s">
        <v>28</v>
      </c>
      <c r="I333" s="1">
        <v>3</v>
      </c>
      <c r="J333" s="6">
        <v>2.101</v>
      </c>
      <c r="K333" s="1">
        <v>2</v>
      </c>
      <c r="L333" s="29"/>
      <c r="O333" s="3"/>
    </row>
    <row r="334" spans="1:15" x14ac:dyDescent="0.3">
      <c r="A334" s="1" t="s">
        <v>324</v>
      </c>
      <c r="B334" s="1" t="s">
        <v>9</v>
      </c>
      <c r="C334" s="14">
        <v>43302</v>
      </c>
      <c r="D334" s="12">
        <f t="shared" si="5"/>
        <v>3</v>
      </c>
      <c r="E334" s="1">
        <v>310</v>
      </c>
      <c r="F334" s="1">
        <v>295</v>
      </c>
      <c r="G334" s="19">
        <v>680</v>
      </c>
      <c r="H334" s="13" t="s">
        <v>10</v>
      </c>
      <c r="I334" s="1">
        <v>6</v>
      </c>
      <c r="J334" s="6">
        <v>18.54</v>
      </c>
      <c r="K334" s="1">
        <v>1</v>
      </c>
      <c r="L334" s="29"/>
      <c r="O334" s="3"/>
    </row>
    <row r="335" spans="1:15" x14ac:dyDescent="0.3">
      <c r="A335" s="1" t="s">
        <v>325</v>
      </c>
      <c r="B335" s="1" t="s">
        <v>9</v>
      </c>
      <c r="C335" s="14">
        <v>43197</v>
      </c>
      <c r="D335" s="12">
        <f t="shared" si="5"/>
        <v>2</v>
      </c>
      <c r="E335" s="1">
        <v>260</v>
      </c>
      <c r="F335" s="1">
        <v>240</v>
      </c>
      <c r="G335" s="19">
        <v>369.3</v>
      </c>
      <c r="H335" s="13" t="s">
        <v>28</v>
      </c>
      <c r="I335" s="1">
        <v>2</v>
      </c>
      <c r="J335" s="6">
        <v>1.925</v>
      </c>
      <c r="K335" s="1">
        <v>3</v>
      </c>
      <c r="L335" s="29"/>
      <c r="O335" s="3"/>
    </row>
    <row r="336" spans="1:15" x14ac:dyDescent="0.3">
      <c r="A336" s="1" t="s">
        <v>326</v>
      </c>
      <c r="B336" s="1" t="s">
        <v>9</v>
      </c>
      <c r="C336" s="14">
        <v>43302</v>
      </c>
      <c r="D336" s="12">
        <f t="shared" si="5"/>
        <v>3</v>
      </c>
      <c r="E336" s="1">
        <v>286</v>
      </c>
      <c r="F336" s="1">
        <v>259</v>
      </c>
      <c r="G336" s="19">
        <v>481</v>
      </c>
      <c r="H336" s="13" t="s">
        <v>28</v>
      </c>
      <c r="I336" s="1">
        <v>4</v>
      </c>
      <c r="J336" s="6">
        <v>2.0019999999999998</v>
      </c>
      <c r="K336" s="1">
        <v>2</v>
      </c>
      <c r="L336" s="29"/>
      <c r="O336" s="3"/>
    </row>
    <row r="337" spans="1:15" x14ac:dyDescent="0.3">
      <c r="A337" s="1" t="s">
        <v>327</v>
      </c>
      <c r="B337" s="1" t="s">
        <v>9</v>
      </c>
      <c r="C337" s="14">
        <v>43197</v>
      </c>
      <c r="D337" s="12">
        <f t="shared" si="5"/>
        <v>2</v>
      </c>
      <c r="E337" s="1">
        <v>215</v>
      </c>
      <c r="F337" s="1">
        <v>190</v>
      </c>
      <c r="G337" s="19">
        <v>232.6</v>
      </c>
      <c r="H337" s="13" t="s">
        <v>10</v>
      </c>
      <c r="I337" s="1">
        <v>1</v>
      </c>
      <c r="J337" s="6">
        <v>0.89</v>
      </c>
      <c r="K337" s="1">
        <v>3</v>
      </c>
      <c r="L337" s="29"/>
      <c r="O337" s="3"/>
    </row>
    <row r="338" spans="1:15" x14ac:dyDescent="0.3">
      <c r="A338" s="1" t="s">
        <v>328</v>
      </c>
      <c r="B338" s="1" t="s">
        <v>9</v>
      </c>
      <c r="C338" s="14">
        <v>43302</v>
      </c>
      <c r="D338" s="12">
        <f t="shared" si="5"/>
        <v>3</v>
      </c>
      <c r="E338" s="1">
        <v>234</v>
      </c>
      <c r="F338" s="1">
        <v>213</v>
      </c>
      <c r="G338" s="19">
        <v>240.7</v>
      </c>
      <c r="H338" s="13" t="s">
        <v>28</v>
      </c>
      <c r="I338" s="1">
        <v>2</v>
      </c>
      <c r="J338" s="6">
        <v>0.63600000000000001</v>
      </c>
      <c r="K338" s="1">
        <v>0</v>
      </c>
      <c r="L338" s="29"/>
      <c r="O338" s="3"/>
    </row>
    <row r="339" spans="1:15" x14ac:dyDescent="0.3">
      <c r="A339" s="1" t="s">
        <v>329</v>
      </c>
      <c r="B339" s="1" t="s">
        <v>9</v>
      </c>
      <c r="C339" s="14">
        <v>43302</v>
      </c>
      <c r="D339" s="12">
        <f t="shared" si="5"/>
        <v>3</v>
      </c>
      <c r="E339" s="1">
        <v>232</v>
      </c>
      <c r="F339" s="1">
        <v>216</v>
      </c>
      <c r="G339" s="19">
        <v>259.7</v>
      </c>
      <c r="H339" s="13" t="s">
        <v>10</v>
      </c>
      <c r="I339" s="1">
        <v>3</v>
      </c>
      <c r="J339" s="6">
        <v>1.7</v>
      </c>
      <c r="K339" s="1">
        <v>2</v>
      </c>
      <c r="L339" s="29"/>
      <c r="O339" s="3"/>
    </row>
    <row r="340" spans="1:15" x14ac:dyDescent="0.3">
      <c r="A340" s="1" t="s">
        <v>330</v>
      </c>
      <c r="B340" s="1" t="s">
        <v>9</v>
      </c>
      <c r="C340" s="14">
        <v>43302</v>
      </c>
      <c r="D340" s="12">
        <f t="shared" si="5"/>
        <v>3</v>
      </c>
      <c r="E340" s="1">
        <v>226</v>
      </c>
      <c r="F340" s="1">
        <v>204</v>
      </c>
      <c r="G340" s="19">
        <v>227</v>
      </c>
      <c r="H340" s="13" t="s">
        <v>10</v>
      </c>
      <c r="I340" s="1">
        <v>2</v>
      </c>
      <c r="J340" s="6">
        <v>1.4</v>
      </c>
      <c r="K340" s="1">
        <v>2</v>
      </c>
      <c r="L340" s="29"/>
      <c r="O340" s="3"/>
    </row>
    <row r="341" spans="1:15" x14ac:dyDescent="0.3">
      <c r="A341" s="1" t="s">
        <v>331</v>
      </c>
      <c r="B341" s="1" t="s">
        <v>9</v>
      </c>
      <c r="C341" s="14">
        <v>43302</v>
      </c>
      <c r="D341" s="12">
        <f t="shared" si="5"/>
        <v>3</v>
      </c>
      <c r="E341" s="1">
        <v>202</v>
      </c>
      <c r="F341" s="1">
        <v>184</v>
      </c>
      <c r="G341" s="19">
        <v>173.5</v>
      </c>
      <c r="H341" s="13" t="s">
        <v>28</v>
      </c>
      <c r="I341" s="1">
        <v>3</v>
      </c>
      <c r="J341" s="6">
        <v>0.68100000000000005</v>
      </c>
      <c r="K341" s="1">
        <v>1</v>
      </c>
      <c r="L341" s="29"/>
      <c r="O341" s="3"/>
    </row>
    <row r="342" spans="1:15" x14ac:dyDescent="0.3">
      <c r="A342" s="1" t="s">
        <v>332</v>
      </c>
      <c r="B342" s="1" t="s">
        <v>9</v>
      </c>
      <c r="C342" s="14">
        <v>43098</v>
      </c>
      <c r="D342" s="12">
        <f t="shared" si="5"/>
        <v>4</v>
      </c>
      <c r="E342" s="1">
        <v>210</v>
      </c>
      <c r="F342" s="1">
        <v>180</v>
      </c>
      <c r="G342" s="19">
        <v>203</v>
      </c>
      <c r="H342" s="13" t="s">
        <v>28</v>
      </c>
      <c r="I342" s="1">
        <v>2</v>
      </c>
      <c r="J342" s="6">
        <v>0.3</v>
      </c>
      <c r="K342" s="1">
        <v>2</v>
      </c>
      <c r="L342" s="29"/>
      <c r="O342" s="3"/>
    </row>
    <row r="343" spans="1:15" x14ac:dyDescent="0.3">
      <c r="A343" s="1" t="s">
        <v>333</v>
      </c>
      <c r="B343" s="1" t="s">
        <v>9</v>
      </c>
      <c r="C343" s="14">
        <v>43302</v>
      </c>
      <c r="D343" s="12">
        <f t="shared" si="5"/>
        <v>3</v>
      </c>
      <c r="E343" s="1">
        <v>241</v>
      </c>
      <c r="F343" s="1">
        <v>217</v>
      </c>
      <c r="G343" s="19">
        <v>268</v>
      </c>
      <c r="H343" s="13" t="s">
        <v>28</v>
      </c>
      <c r="I343" s="1">
        <v>6</v>
      </c>
      <c r="J343" s="6">
        <v>18</v>
      </c>
      <c r="K343" s="1">
        <v>0</v>
      </c>
      <c r="L343" s="29"/>
      <c r="O343" s="3"/>
    </row>
    <row r="344" spans="1:15" x14ac:dyDescent="0.3">
      <c r="A344" s="1" t="s">
        <v>334</v>
      </c>
      <c r="B344" s="1" t="s">
        <v>9</v>
      </c>
      <c r="C344" s="14">
        <v>43098</v>
      </c>
      <c r="D344" s="12">
        <f t="shared" si="5"/>
        <v>4</v>
      </c>
      <c r="E344" s="1">
        <v>173</v>
      </c>
      <c r="F344" s="1">
        <v>158</v>
      </c>
      <c r="G344" s="19">
        <v>115</v>
      </c>
      <c r="H344" s="13" t="s">
        <v>10</v>
      </c>
      <c r="I344" s="1">
        <v>1</v>
      </c>
      <c r="J344" s="6">
        <v>0.38500000000000001</v>
      </c>
      <c r="K344" s="1">
        <v>1</v>
      </c>
      <c r="L344" s="29"/>
      <c r="O344" s="3"/>
    </row>
    <row r="345" spans="1:15" x14ac:dyDescent="0.3">
      <c r="A345" s="1" t="s">
        <v>335</v>
      </c>
      <c r="B345" s="1" t="s">
        <v>9</v>
      </c>
      <c r="C345" s="14">
        <v>43302</v>
      </c>
      <c r="D345" s="12">
        <f t="shared" si="5"/>
        <v>3</v>
      </c>
      <c r="E345" s="15">
        <v>265</v>
      </c>
      <c r="F345" s="15">
        <v>242</v>
      </c>
      <c r="G345" s="19">
        <v>386.6</v>
      </c>
      <c r="H345" s="13" t="s">
        <v>28</v>
      </c>
      <c r="I345" s="15">
        <v>2</v>
      </c>
      <c r="J345" s="16">
        <v>1.5</v>
      </c>
      <c r="K345" s="15">
        <v>2</v>
      </c>
      <c r="L345" s="29"/>
      <c r="O345" s="3"/>
    </row>
    <row r="346" spans="1:15" x14ac:dyDescent="0.3">
      <c r="A346" s="1" t="s">
        <v>336</v>
      </c>
      <c r="B346" s="1" t="s">
        <v>9</v>
      </c>
      <c r="C346" s="14">
        <v>43302</v>
      </c>
      <c r="D346" s="12">
        <f t="shared" si="5"/>
        <v>3</v>
      </c>
      <c r="E346" s="1">
        <v>220</v>
      </c>
      <c r="F346" s="1">
        <v>200</v>
      </c>
      <c r="G346" s="19">
        <v>202.6</v>
      </c>
      <c r="H346" s="13" t="s">
        <v>28</v>
      </c>
      <c r="I346" s="1">
        <v>3</v>
      </c>
      <c r="J346" s="6">
        <v>0.87</v>
      </c>
      <c r="K346" s="1">
        <v>1</v>
      </c>
      <c r="L346" s="29"/>
      <c r="O346" s="3"/>
    </row>
    <row r="347" spans="1:15" x14ac:dyDescent="0.3">
      <c r="A347" s="1" t="s">
        <v>337</v>
      </c>
      <c r="B347" s="1" t="s">
        <v>9</v>
      </c>
      <c r="C347" s="14">
        <v>43302</v>
      </c>
      <c r="D347" s="12">
        <f t="shared" si="5"/>
        <v>3</v>
      </c>
      <c r="E347" s="1">
        <v>212</v>
      </c>
      <c r="F347" s="1">
        <v>193</v>
      </c>
      <c r="G347" s="19">
        <v>207.5</v>
      </c>
      <c r="H347" s="13" t="s">
        <v>10</v>
      </c>
      <c r="I347" s="1">
        <v>2</v>
      </c>
      <c r="J347" s="6">
        <v>2.5190000000000001</v>
      </c>
      <c r="K347" s="1">
        <v>1</v>
      </c>
      <c r="L347" s="29"/>
      <c r="O347" s="3"/>
    </row>
    <row r="348" spans="1:15" x14ac:dyDescent="0.3">
      <c r="A348" s="1" t="s">
        <v>338</v>
      </c>
      <c r="B348" s="1" t="s">
        <v>9</v>
      </c>
      <c r="C348" s="14">
        <v>43302</v>
      </c>
      <c r="D348" s="12">
        <f t="shared" si="5"/>
        <v>3</v>
      </c>
      <c r="E348" s="1">
        <v>207</v>
      </c>
      <c r="F348" s="1">
        <v>189</v>
      </c>
      <c r="G348" s="19">
        <v>184</v>
      </c>
      <c r="H348" s="13" t="s">
        <v>10</v>
      </c>
      <c r="I348" s="1">
        <v>3</v>
      </c>
      <c r="J348" s="6">
        <v>2.4700000000000002</v>
      </c>
      <c r="K348" s="1">
        <v>1</v>
      </c>
      <c r="L348" s="29"/>
      <c r="O348" s="3"/>
    </row>
    <row r="349" spans="1:15" x14ac:dyDescent="0.3">
      <c r="A349" s="1" t="s">
        <v>339</v>
      </c>
      <c r="B349" s="1" t="s">
        <v>9</v>
      </c>
      <c r="C349" s="14">
        <v>43302</v>
      </c>
      <c r="D349" s="12">
        <f t="shared" si="5"/>
        <v>3</v>
      </c>
      <c r="E349" s="1">
        <v>170</v>
      </c>
      <c r="F349" s="1">
        <v>160</v>
      </c>
      <c r="G349" s="19">
        <v>105.4</v>
      </c>
      <c r="H349" s="13" t="s">
        <v>28</v>
      </c>
      <c r="I349" s="1">
        <v>2</v>
      </c>
      <c r="J349" s="6">
        <v>0.76800000000000002</v>
      </c>
      <c r="K349" s="1">
        <v>1</v>
      </c>
      <c r="L349" s="29"/>
      <c r="O349" s="3"/>
    </row>
    <row r="350" spans="1:15" x14ac:dyDescent="0.3">
      <c r="A350" s="1" t="s">
        <v>340</v>
      </c>
      <c r="B350" s="1" t="s">
        <v>9</v>
      </c>
      <c r="C350" s="14">
        <v>43302</v>
      </c>
      <c r="D350" s="12">
        <f t="shared" si="5"/>
        <v>3</v>
      </c>
      <c r="E350" s="1">
        <v>221</v>
      </c>
      <c r="F350" s="1">
        <v>202</v>
      </c>
      <c r="G350" s="19">
        <v>235</v>
      </c>
      <c r="H350" s="13" t="s">
        <v>28</v>
      </c>
      <c r="I350" s="1">
        <v>2</v>
      </c>
      <c r="J350" s="6">
        <v>0.6</v>
      </c>
      <c r="K350" s="1">
        <v>3</v>
      </c>
      <c r="L350" s="29"/>
      <c r="O350" s="3"/>
    </row>
    <row r="351" spans="1:15" x14ac:dyDescent="0.3">
      <c r="A351" s="1" t="s">
        <v>341</v>
      </c>
      <c r="B351" s="1" t="s">
        <v>9</v>
      </c>
      <c r="C351" s="14">
        <v>43302</v>
      </c>
      <c r="D351" s="12">
        <f t="shared" si="5"/>
        <v>3</v>
      </c>
      <c r="E351" s="1">
        <v>213</v>
      </c>
      <c r="F351" s="1">
        <v>189</v>
      </c>
      <c r="G351" s="19">
        <v>186.4</v>
      </c>
      <c r="H351" s="13" t="s">
        <v>28</v>
      </c>
      <c r="I351" s="1">
        <v>3</v>
      </c>
      <c r="J351" s="6">
        <v>0.38200000000000001</v>
      </c>
      <c r="K351" s="1">
        <v>0</v>
      </c>
      <c r="L351" s="29"/>
      <c r="O351" s="3"/>
    </row>
    <row r="352" spans="1:15" x14ac:dyDescent="0.3">
      <c r="A352" s="1" t="s">
        <v>342</v>
      </c>
      <c r="B352" s="1" t="s">
        <v>9</v>
      </c>
      <c r="C352" s="14">
        <v>43098</v>
      </c>
      <c r="D352" s="12">
        <f t="shared" si="5"/>
        <v>4</v>
      </c>
      <c r="E352" s="1">
        <v>198</v>
      </c>
      <c r="F352" s="1">
        <v>182</v>
      </c>
      <c r="G352" s="19">
        <v>159</v>
      </c>
      <c r="H352" s="13"/>
      <c r="I352" s="1">
        <v>2</v>
      </c>
      <c r="J352" s="6">
        <v>0.08</v>
      </c>
      <c r="K352" s="1">
        <v>1</v>
      </c>
      <c r="L352" s="29"/>
      <c r="O352" s="3"/>
    </row>
    <row r="353" spans="1:15" x14ac:dyDescent="0.3">
      <c r="A353" s="1" t="s">
        <v>343</v>
      </c>
      <c r="B353" s="1" t="s">
        <v>9</v>
      </c>
      <c r="C353" s="14">
        <v>43302</v>
      </c>
      <c r="D353" s="12">
        <f t="shared" si="5"/>
        <v>3</v>
      </c>
      <c r="E353" s="1">
        <v>182</v>
      </c>
      <c r="F353" s="1">
        <v>167</v>
      </c>
      <c r="G353" s="19">
        <v>117.8</v>
      </c>
      <c r="H353" s="13" t="s">
        <v>10</v>
      </c>
      <c r="I353" s="1">
        <v>1</v>
      </c>
      <c r="J353" s="6">
        <v>0.495</v>
      </c>
      <c r="K353" s="1">
        <v>3</v>
      </c>
      <c r="L353" s="29"/>
      <c r="O353" s="3"/>
    </row>
    <row r="354" spans="1:15" x14ac:dyDescent="0.3">
      <c r="A354" s="1" t="s">
        <v>344</v>
      </c>
      <c r="B354" s="1" t="s">
        <v>9</v>
      </c>
      <c r="C354" s="14">
        <v>43302</v>
      </c>
      <c r="D354" s="12">
        <f t="shared" si="5"/>
        <v>3</v>
      </c>
      <c r="E354" s="1">
        <v>196</v>
      </c>
      <c r="F354" s="1">
        <v>179</v>
      </c>
      <c r="G354" s="19">
        <v>149.30000000000001</v>
      </c>
      <c r="H354" s="13" t="s">
        <v>28</v>
      </c>
      <c r="I354" s="1">
        <v>1</v>
      </c>
      <c r="J354" s="6">
        <v>0.06</v>
      </c>
      <c r="K354" s="1">
        <v>1</v>
      </c>
      <c r="L354" s="29"/>
      <c r="O354" s="3"/>
    </row>
    <row r="355" spans="1:15" x14ac:dyDescent="0.3">
      <c r="A355" s="1" t="s">
        <v>345</v>
      </c>
      <c r="B355" s="1" t="s">
        <v>9</v>
      </c>
      <c r="C355" s="14">
        <v>43302</v>
      </c>
      <c r="D355" s="12">
        <f t="shared" si="5"/>
        <v>3</v>
      </c>
      <c r="E355" s="1">
        <v>210</v>
      </c>
      <c r="F355" s="1">
        <v>190</v>
      </c>
      <c r="G355" s="19">
        <v>186.2</v>
      </c>
      <c r="H355" s="13" t="s">
        <v>28</v>
      </c>
      <c r="I355" s="1">
        <v>3</v>
      </c>
      <c r="J355" s="6">
        <v>0.6</v>
      </c>
      <c r="K355" s="1">
        <v>0</v>
      </c>
      <c r="L355" s="29"/>
      <c r="O355" s="3"/>
    </row>
    <row r="356" spans="1:15" x14ac:dyDescent="0.3">
      <c r="A356" s="1" t="s">
        <v>346</v>
      </c>
      <c r="B356" s="1" t="s">
        <v>9</v>
      </c>
      <c r="C356" s="14">
        <v>43302</v>
      </c>
      <c r="D356" s="12">
        <f t="shared" si="5"/>
        <v>3</v>
      </c>
      <c r="E356" s="1">
        <v>197</v>
      </c>
      <c r="F356" s="1">
        <v>154</v>
      </c>
      <c r="G356" s="19">
        <v>146.4</v>
      </c>
      <c r="H356" s="13" t="s">
        <v>28</v>
      </c>
      <c r="I356" s="1">
        <v>2</v>
      </c>
      <c r="J356" s="6">
        <v>0.09</v>
      </c>
      <c r="K356" s="1">
        <v>2</v>
      </c>
      <c r="L356" s="29"/>
      <c r="O356" s="3"/>
    </row>
    <row r="357" spans="1:15" x14ac:dyDescent="0.3">
      <c r="A357" s="1" t="s">
        <v>347</v>
      </c>
      <c r="B357" s="1" t="s">
        <v>9</v>
      </c>
      <c r="C357" s="14">
        <v>43302</v>
      </c>
      <c r="D357" s="12">
        <f t="shared" si="5"/>
        <v>3</v>
      </c>
      <c r="E357" s="1">
        <v>205</v>
      </c>
      <c r="F357" s="1">
        <v>186</v>
      </c>
      <c r="G357" s="19">
        <v>154.69999999999999</v>
      </c>
      <c r="H357" s="13" t="s">
        <v>10</v>
      </c>
      <c r="I357" s="1">
        <v>2</v>
      </c>
      <c r="J357" s="6">
        <v>0.5</v>
      </c>
      <c r="K357" s="1">
        <v>1</v>
      </c>
      <c r="L357" s="29"/>
      <c r="O357" s="3"/>
    </row>
    <row r="358" spans="1:15" x14ac:dyDescent="0.3">
      <c r="A358" s="1" t="s">
        <v>348</v>
      </c>
      <c r="B358" s="1" t="s">
        <v>9</v>
      </c>
      <c r="C358" s="14">
        <v>43098</v>
      </c>
      <c r="D358" s="12">
        <f t="shared" si="5"/>
        <v>4</v>
      </c>
      <c r="E358" s="1">
        <v>188</v>
      </c>
      <c r="F358" s="1">
        <v>171</v>
      </c>
      <c r="G358" s="19">
        <v>147</v>
      </c>
      <c r="H358" s="13" t="s">
        <v>10</v>
      </c>
      <c r="I358" s="1">
        <v>3</v>
      </c>
      <c r="J358" s="6">
        <v>1.29</v>
      </c>
      <c r="K358" s="1">
        <v>2</v>
      </c>
      <c r="L358" s="29"/>
      <c r="O358" s="3"/>
    </row>
    <row r="359" spans="1:15" x14ac:dyDescent="0.3">
      <c r="A359" s="1" t="s">
        <v>349</v>
      </c>
      <c r="B359" s="1" t="s">
        <v>9</v>
      </c>
      <c r="C359" s="14">
        <v>43302</v>
      </c>
      <c r="D359" s="12">
        <f t="shared" si="5"/>
        <v>3</v>
      </c>
      <c r="E359" s="1">
        <v>191</v>
      </c>
      <c r="F359" s="1">
        <v>179</v>
      </c>
      <c r="G359" s="19">
        <v>144</v>
      </c>
      <c r="H359" s="13" t="s">
        <v>10</v>
      </c>
      <c r="I359" s="1">
        <v>2</v>
      </c>
      <c r="J359" s="6">
        <v>0.9</v>
      </c>
      <c r="K359" s="1">
        <v>0</v>
      </c>
      <c r="L359" s="29"/>
      <c r="O359" s="3"/>
    </row>
    <row r="360" spans="1:15" x14ac:dyDescent="0.3">
      <c r="A360" s="1" t="s">
        <v>350</v>
      </c>
      <c r="B360" s="1" t="s">
        <v>9</v>
      </c>
      <c r="C360" s="14">
        <v>43098</v>
      </c>
      <c r="D360" s="12">
        <f t="shared" si="5"/>
        <v>4</v>
      </c>
      <c r="E360" s="1">
        <v>166</v>
      </c>
      <c r="F360" s="1">
        <v>150</v>
      </c>
      <c r="G360" s="19">
        <v>81</v>
      </c>
      <c r="H360" s="13" t="s">
        <v>143</v>
      </c>
      <c r="I360" s="1" t="s">
        <v>351</v>
      </c>
      <c r="J360" s="6">
        <v>0</v>
      </c>
      <c r="K360" s="1">
        <v>1</v>
      </c>
      <c r="L360" s="29"/>
      <c r="O360" s="3"/>
    </row>
    <row r="361" spans="1:15" x14ac:dyDescent="0.3">
      <c r="A361" s="1" t="s">
        <v>352</v>
      </c>
      <c r="B361" s="1" t="s">
        <v>9</v>
      </c>
      <c r="C361" s="14">
        <v>43098</v>
      </c>
      <c r="D361" s="12">
        <f t="shared" si="5"/>
        <v>4</v>
      </c>
      <c r="E361" s="1">
        <v>184</v>
      </c>
      <c r="F361" s="1">
        <v>166</v>
      </c>
      <c r="G361" s="19">
        <v>181</v>
      </c>
      <c r="H361" s="13" t="s">
        <v>143</v>
      </c>
      <c r="I361" s="1" t="s">
        <v>351</v>
      </c>
      <c r="J361" s="6">
        <v>0</v>
      </c>
      <c r="K361" s="1">
        <v>0</v>
      </c>
      <c r="L361" s="29"/>
      <c r="O361" s="3"/>
    </row>
    <row r="362" spans="1:15" x14ac:dyDescent="0.3">
      <c r="A362" s="1" t="s">
        <v>353</v>
      </c>
      <c r="B362" s="1" t="s">
        <v>9</v>
      </c>
      <c r="C362" s="14">
        <v>43098</v>
      </c>
      <c r="D362" s="12">
        <f t="shared" si="5"/>
        <v>4</v>
      </c>
      <c r="E362" s="1">
        <v>185</v>
      </c>
      <c r="F362" s="1">
        <v>142</v>
      </c>
      <c r="G362" s="19">
        <v>136</v>
      </c>
      <c r="H362" s="13" t="s">
        <v>28</v>
      </c>
      <c r="I362" s="1">
        <v>2</v>
      </c>
      <c r="J362" s="6">
        <v>0</v>
      </c>
      <c r="K362" s="1">
        <v>1</v>
      </c>
      <c r="L362" s="29"/>
      <c r="O362" s="3"/>
    </row>
    <row r="363" spans="1:15" x14ac:dyDescent="0.3">
      <c r="A363" s="1" t="s">
        <v>354</v>
      </c>
      <c r="B363" s="1" t="s">
        <v>9</v>
      </c>
      <c r="C363" s="14">
        <v>43098</v>
      </c>
      <c r="D363" s="12">
        <f t="shared" si="5"/>
        <v>4</v>
      </c>
      <c r="E363" s="1">
        <v>181</v>
      </c>
      <c r="F363" s="1">
        <v>138</v>
      </c>
      <c r="G363" s="19">
        <v>168</v>
      </c>
      <c r="H363" s="13" t="s">
        <v>143</v>
      </c>
      <c r="I363" s="1" t="s">
        <v>351</v>
      </c>
      <c r="J363" s="6">
        <v>0</v>
      </c>
      <c r="K363" s="1">
        <v>0</v>
      </c>
      <c r="L363" s="29"/>
      <c r="O363" s="3"/>
    </row>
    <row r="364" spans="1:15" x14ac:dyDescent="0.3">
      <c r="A364" s="1" t="s">
        <v>355</v>
      </c>
      <c r="B364" s="1" t="s">
        <v>9</v>
      </c>
      <c r="C364" s="11">
        <v>43251</v>
      </c>
      <c r="D364" s="12">
        <f t="shared" si="5"/>
        <v>2</v>
      </c>
      <c r="E364" s="1">
        <v>246</v>
      </c>
      <c r="F364" s="1">
        <v>224</v>
      </c>
      <c r="G364" s="19">
        <v>319.5</v>
      </c>
      <c r="H364" s="1" t="s">
        <v>28</v>
      </c>
      <c r="I364" s="1">
        <v>3</v>
      </c>
      <c r="J364" s="6">
        <v>0.7</v>
      </c>
      <c r="K364" s="1">
        <v>2</v>
      </c>
      <c r="L364" s="29"/>
      <c r="O364" s="3"/>
    </row>
    <row r="365" spans="1:15" x14ac:dyDescent="0.3">
      <c r="A365" s="1" t="s">
        <v>356</v>
      </c>
      <c r="B365" s="1" t="s">
        <v>9</v>
      </c>
      <c r="C365" s="11">
        <v>43616</v>
      </c>
      <c r="D365" s="12">
        <f t="shared" si="5"/>
        <v>2</v>
      </c>
      <c r="E365" s="1">
        <v>241</v>
      </c>
      <c r="F365" s="1">
        <v>221.8</v>
      </c>
      <c r="G365" s="19">
        <v>289.5</v>
      </c>
      <c r="H365" s="1" t="s">
        <v>28</v>
      </c>
      <c r="I365" s="1">
        <v>3</v>
      </c>
      <c r="J365" s="6">
        <v>1.7</v>
      </c>
      <c r="K365" s="1">
        <v>1</v>
      </c>
      <c r="L365" s="29"/>
      <c r="O365" s="3"/>
    </row>
    <row r="366" spans="1:15" x14ac:dyDescent="0.3">
      <c r="A366" s="1" t="s">
        <v>357</v>
      </c>
      <c r="B366" s="1" t="s">
        <v>9</v>
      </c>
      <c r="C366" s="11">
        <v>43616</v>
      </c>
      <c r="D366" s="12">
        <f t="shared" si="5"/>
        <v>2</v>
      </c>
      <c r="E366" s="1">
        <v>227</v>
      </c>
      <c r="F366" s="1">
        <v>208</v>
      </c>
      <c r="G366" s="19">
        <v>252</v>
      </c>
      <c r="H366" s="1" t="s">
        <v>10</v>
      </c>
      <c r="I366" s="1">
        <v>3</v>
      </c>
      <c r="J366" s="6">
        <v>3.1</v>
      </c>
      <c r="K366" s="1">
        <v>3</v>
      </c>
      <c r="L366" s="29"/>
      <c r="O366" s="3"/>
    </row>
    <row r="367" spans="1:15" x14ac:dyDescent="0.3">
      <c r="A367" s="1" t="s">
        <v>358</v>
      </c>
      <c r="B367" s="1" t="s">
        <v>9</v>
      </c>
      <c r="C367" s="11">
        <v>43616</v>
      </c>
      <c r="D367" s="12">
        <f t="shared" si="5"/>
        <v>2</v>
      </c>
      <c r="E367" s="1">
        <v>240</v>
      </c>
      <c r="F367" s="1">
        <v>218</v>
      </c>
      <c r="G367" s="19">
        <v>275</v>
      </c>
      <c r="H367" s="1" t="s">
        <v>10</v>
      </c>
      <c r="I367" s="1">
        <v>4</v>
      </c>
      <c r="J367" s="6">
        <v>7.5</v>
      </c>
      <c r="K367" s="1">
        <v>2</v>
      </c>
      <c r="L367" s="29"/>
      <c r="O367" s="3"/>
    </row>
    <row r="368" spans="1:15" x14ac:dyDescent="0.3">
      <c r="A368" s="1" t="s">
        <v>359</v>
      </c>
      <c r="B368" s="1" t="s">
        <v>9</v>
      </c>
      <c r="C368" s="11">
        <v>43616</v>
      </c>
      <c r="D368" s="12">
        <f t="shared" si="5"/>
        <v>2</v>
      </c>
      <c r="E368" s="1">
        <v>255</v>
      </c>
      <c r="F368" s="1">
        <v>233</v>
      </c>
      <c r="G368" s="19">
        <v>367.5</v>
      </c>
      <c r="H368" s="1" t="s">
        <v>28</v>
      </c>
      <c r="I368" s="1">
        <v>3</v>
      </c>
      <c r="J368" s="6">
        <v>1.2</v>
      </c>
      <c r="K368" s="1">
        <v>1</v>
      </c>
      <c r="L368" s="29"/>
      <c r="O368" s="3"/>
    </row>
    <row r="369" spans="1:15" x14ac:dyDescent="0.3">
      <c r="A369" s="1" t="s">
        <v>360</v>
      </c>
      <c r="B369" s="1" t="s">
        <v>9</v>
      </c>
      <c r="C369" s="11">
        <v>43616</v>
      </c>
      <c r="D369" s="12">
        <f t="shared" si="5"/>
        <v>2</v>
      </c>
      <c r="E369" s="1">
        <v>246</v>
      </c>
      <c r="F369" s="1">
        <v>218</v>
      </c>
      <c r="G369" s="19">
        <v>276</v>
      </c>
      <c r="H369" s="1" t="s">
        <v>10</v>
      </c>
      <c r="I369" s="1">
        <v>3</v>
      </c>
      <c r="J369" s="6">
        <v>3.7</v>
      </c>
      <c r="K369" s="1">
        <v>1</v>
      </c>
      <c r="L369" s="29"/>
      <c r="O369" s="3"/>
    </row>
    <row r="370" spans="1:15" x14ac:dyDescent="0.3">
      <c r="A370" s="1" t="s">
        <v>361</v>
      </c>
      <c r="B370" s="1" t="s">
        <v>9</v>
      </c>
      <c r="C370" s="11">
        <v>43616</v>
      </c>
      <c r="D370" s="12">
        <f t="shared" si="5"/>
        <v>2</v>
      </c>
      <c r="E370" s="1">
        <v>251</v>
      </c>
      <c r="F370" s="1">
        <v>222</v>
      </c>
      <c r="G370" s="19">
        <v>283</v>
      </c>
      <c r="H370" s="1" t="s">
        <v>10</v>
      </c>
      <c r="I370" s="1">
        <v>3</v>
      </c>
      <c r="J370" s="6">
        <v>3.3</v>
      </c>
      <c r="K370" s="1">
        <v>1</v>
      </c>
      <c r="L370" s="29"/>
      <c r="O370" s="3"/>
    </row>
    <row r="371" spans="1:15" x14ac:dyDescent="0.3">
      <c r="A371" s="1" t="s">
        <v>362</v>
      </c>
      <c r="B371" s="1" t="s">
        <v>9</v>
      </c>
      <c r="C371" s="11">
        <v>43616</v>
      </c>
      <c r="D371" s="12">
        <f t="shared" si="5"/>
        <v>2</v>
      </c>
      <c r="E371" s="1">
        <v>247</v>
      </c>
      <c r="F371" s="1">
        <v>209</v>
      </c>
      <c r="G371" s="19">
        <v>329.5</v>
      </c>
      <c r="H371" s="1" t="s">
        <v>28</v>
      </c>
      <c r="I371" s="1">
        <v>3</v>
      </c>
      <c r="J371" s="6">
        <v>0.5</v>
      </c>
      <c r="K371" s="1">
        <v>2</v>
      </c>
      <c r="L371" s="29"/>
      <c r="O371" s="3"/>
    </row>
    <row r="372" spans="1:15" x14ac:dyDescent="0.3">
      <c r="A372" s="1" t="s">
        <v>363</v>
      </c>
      <c r="B372" s="1" t="s">
        <v>9</v>
      </c>
      <c r="C372" s="11">
        <v>43616</v>
      </c>
      <c r="D372" s="12">
        <f t="shared" si="5"/>
        <v>2</v>
      </c>
      <c r="E372" s="1">
        <v>211</v>
      </c>
      <c r="F372" s="1">
        <v>190</v>
      </c>
      <c r="G372" s="19">
        <v>190.5</v>
      </c>
      <c r="H372" s="1" t="s">
        <v>28</v>
      </c>
      <c r="I372" s="1">
        <v>3</v>
      </c>
      <c r="J372" s="6">
        <v>2.9</v>
      </c>
      <c r="K372" s="1">
        <v>2</v>
      </c>
      <c r="L372" s="29"/>
      <c r="O372" s="3"/>
    </row>
    <row r="373" spans="1:15" x14ac:dyDescent="0.3">
      <c r="A373" s="1" t="s">
        <v>364</v>
      </c>
      <c r="B373" s="1" t="s">
        <v>9</v>
      </c>
      <c r="C373" s="11">
        <v>43616</v>
      </c>
      <c r="D373" s="12">
        <f t="shared" si="5"/>
        <v>2</v>
      </c>
      <c r="E373" s="1">
        <v>218</v>
      </c>
      <c r="F373" s="1">
        <v>195</v>
      </c>
      <c r="G373" s="19">
        <v>186.5</v>
      </c>
      <c r="H373" s="1" t="s">
        <v>10</v>
      </c>
      <c r="I373" s="1">
        <v>3</v>
      </c>
      <c r="J373" s="6">
        <v>0.8</v>
      </c>
      <c r="K373" s="1">
        <v>1</v>
      </c>
      <c r="L373" s="29"/>
      <c r="O373" s="3"/>
    </row>
    <row r="374" spans="1:15" x14ac:dyDescent="0.3">
      <c r="A374" s="1" t="s">
        <v>365</v>
      </c>
      <c r="B374" s="1" t="s">
        <v>9</v>
      </c>
      <c r="C374" s="11">
        <v>43616</v>
      </c>
      <c r="D374" s="12">
        <f t="shared" si="5"/>
        <v>2</v>
      </c>
      <c r="E374" s="1">
        <v>210</v>
      </c>
      <c r="F374" s="1">
        <v>190</v>
      </c>
      <c r="G374" s="19">
        <v>176</v>
      </c>
      <c r="H374" s="1" t="s">
        <v>28</v>
      </c>
      <c r="I374" s="1">
        <v>3</v>
      </c>
      <c r="J374" s="6">
        <v>0.7</v>
      </c>
      <c r="K374" s="1">
        <v>1</v>
      </c>
      <c r="L374" s="29"/>
      <c r="O374" s="3"/>
    </row>
    <row r="375" spans="1:15" x14ac:dyDescent="0.3">
      <c r="A375" s="1" t="s">
        <v>366</v>
      </c>
      <c r="B375" s="1" t="s">
        <v>9</v>
      </c>
      <c r="C375" s="11">
        <v>43419</v>
      </c>
      <c r="D375" s="12">
        <f t="shared" si="5"/>
        <v>4</v>
      </c>
      <c r="E375" s="1">
        <v>309</v>
      </c>
      <c r="F375" s="1">
        <v>278</v>
      </c>
      <c r="G375" s="19">
        <v>678.5</v>
      </c>
      <c r="H375" s="1" t="s">
        <v>28</v>
      </c>
      <c r="I375" s="1">
        <v>4</v>
      </c>
      <c r="J375" s="6">
        <v>10.1</v>
      </c>
      <c r="K375" s="1">
        <v>2</v>
      </c>
      <c r="L375" s="29"/>
      <c r="O375" s="3"/>
    </row>
    <row r="376" spans="1:15" x14ac:dyDescent="0.3">
      <c r="A376" s="1" t="s">
        <v>367</v>
      </c>
      <c r="B376" s="1" t="s">
        <v>9</v>
      </c>
      <c r="C376" s="11">
        <v>43419</v>
      </c>
      <c r="D376" s="12">
        <f t="shared" si="5"/>
        <v>4</v>
      </c>
      <c r="E376" s="1">
        <v>189</v>
      </c>
      <c r="F376" s="1">
        <v>186</v>
      </c>
      <c r="G376" s="19">
        <v>173</v>
      </c>
      <c r="H376" s="1" t="s">
        <v>10</v>
      </c>
      <c r="I376" s="1">
        <v>2</v>
      </c>
      <c r="J376" s="6">
        <v>1</v>
      </c>
      <c r="K376" s="1">
        <v>1</v>
      </c>
      <c r="L376" s="29"/>
      <c r="O376" s="3"/>
    </row>
    <row r="377" spans="1:15" x14ac:dyDescent="0.3">
      <c r="A377" s="1" t="s">
        <v>368</v>
      </c>
      <c r="B377" s="1" t="s">
        <v>9</v>
      </c>
      <c r="C377" s="11">
        <v>43419</v>
      </c>
      <c r="D377" s="12">
        <f t="shared" si="5"/>
        <v>4</v>
      </c>
      <c r="E377" s="1">
        <v>176</v>
      </c>
      <c r="F377" s="1">
        <v>164</v>
      </c>
      <c r="G377" s="19">
        <v>119</v>
      </c>
      <c r="H377" s="1" t="s">
        <v>10</v>
      </c>
      <c r="I377" s="1">
        <v>2</v>
      </c>
      <c r="J377" s="6">
        <v>0.5</v>
      </c>
      <c r="K377" s="1">
        <v>1</v>
      </c>
      <c r="L377" s="29"/>
      <c r="O377" s="3"/>
    </row>
    <row r="378" spans="1:15" x14ac:dyDescent="0.3">
      <c r="A378" s="1" t="s">
        <v>369</v>
      </c>
      <c r="B378" s="1" t="s">
        <v>9</v>
      </c>
      <c r="C378" s="11">
        <v>43419</v>
      </c>
      <c r="D378" s="12">
        <f t="shared" si="5"/>
        <v>4</v>
      </c>
      <c r="E378" s="1">
        <v>180</v>
      </c>
      <c r="F378" s="1">
        <v>165</v>
      </c>
      <c r="G378" s="19">
        <v>119</v>
      </c>
      <c r="H378" s="1" t="s">
        <v>28</v>
      </c>
      <c r="I378" s="1">
        <v>2</v>
      </c>
      <c r="J378" s="6">
        <v>0.7</v>
      </c>
      <c r="K378" s="1">
        <v>1</v>
      </c>
      <c r="L378" s="29"/>
      <c r="O378" s="3"/>
    </row>
    <row r="379" spans="1:15" x14ac:dyDescent="0.3">
      <c r="A379" s="1" t="s">
        <v>370</v>
      </c>
      <c r="B379" s="1" t="s">
        <v>9</v>
      </c>
      <c r="C379" s="11">
        <v>43558</v>
      </c>
      <c r="D379" s="12">
        <f t="shared" si="5"/>
        <v>2</v>
      </c>
      <c r="E379" s="1">
        <v>298</v>
      </c>
      <c r="F379" s="1">
        <v>269</v>
      </c>
      <c r="G379" s="19">
        <v>512</v>
      </c>
      <c r="H379" s="1" t="s">
        <v>28</v>
      </c>
      <c r="I379" s="1">
        <v>5</v>
      </c>
      <c r="J379" s="6">
        <v>43.7</v>
      </c>
      <c r="K379" s="1">
        <v>0</v>
      </c>
      <c r="L379" s="29"/>
      <c r="O379" s="3"/>
    </row>
    <row r="380" spans="1:15" x14ac:dyDescent="0.3">
      <c r="A380" s="1" t="s">
        <v>371</v>
      </c>
      <c r="B380" s="1" t="s">
        <v>9</v>
      </c>
      <c r="C380" s="11">
        <v>43558</v>
      </c>
      <c r="D380" s="12">
        <f t="shared" si="5"/>
        <v>2</v>
      </c>
      <c r="E380" s="1">
        <v>199</v>
      </c>
      <c r="F380" s="1">
        <v>180</v>
      </c>
      <c r="G380" s="19">
        <v>168.5</v>
      </c>
      <c r="H380" s="1" t="s">
        <v>28</v>
      </c>
      <c r="I380" s="1">
        <v>3</v>
      </c>
      <c r="J380" s="6">
        <v>0.3</v>
      </c>
      <c r="K380" s="1">
        <v>2</v>
      </c>
      <c r="L380" s="29"/>
      <c r="O380" s="3"/>
    </row>
    <row r="381" spans="1:15" x14ac:dyDescent="0.3">
      <c r="A381" s="1" t="s">
        <v>372</v>
      </c>
      <c r="B381" s="1" t="s">
        <v>9</v>
      </c>
      <c r="C381" s="11">
        <v>43558</v>
      </c>
      <c r="D381" s="12">
        <f t="shared" si="5"/>
        <v>2</v>
      </c>
      <c r="E381" s="1">
        <v>145</v>
      </c>
      <c r="F381" s="1">
        <v>134</v>
      </c>
      <c r="G381" s="19">
        <v>56.5</v>
      </c>
      <c r="H381" s="1" t="s">
        <v>143</v>
      </c>
      <c r="I381" s="1">
        <v>1</v>
      </c>
      <c r="J381" s="6">
        <v>0.01</v>
      </c>
      <c r="K381" s="1">
        <v>0</v>
      </c>
      <c r="L381" s="29"/>
      <c r="O381" s="3"/>
    </row>
    <row r="382" spans="1:15" x14ac:dyDescent="0.3">
      <c r="A382" s="1" t="s">
        <v>373</v>
      </c>
      <c r="B382" s="1" t="s">
        <v>9</v>
      </c>
      <c r="C382" s="11">
        <v>43558</v>
      </c>
      <c r="D382" s="12">
        <f t="shared" si="5"/>
        <v>2</v>
      </c>
      <c r="E382" s="1">
        <v>244</v>
      </c>
      <c r="F382" s="1">
        <v>222</v>
      </c>
      <c r="G382" s="19">
        <v>270</v>
      </c>
      <c r="H382" s="1" t="s">
        <v>28</v>
      </c>
      <c r="I382" s="1">
        <v>5</v>
      </c>
      <c r="J382" s="6">
        <v>10.199999999999999</v>
      </c>
      <c r="K382" s="1">
        <v>0</v>
      </c>
      <c r="L382" s="29"/>
      <c r="O382" s="3"/>
    </row>
    <row r="383" spans="1:15" x14ac:dyDescent="0.3">
      <c r="A383" s="1" t="s">
        <v>374</v>
      </c>
      <c r="B383" s="1" t="s">
        <v>9</v>
      </c>
      <c r="C383" s="11">
        <v>43558</v>
      </c>
      <c r="D383" s="12">
        <f t="shared" si="5"/>
        <v>2</v>
      </c>
      <c r="E383" s="1">
        <v>224</v>
      </c>
      <c r="F383" s="1">
        <v>204</v>
      </c>
      <c r="G383" s="19">
        <v>208</v>
      </c>
      <c r="H383" s="1" t="s">
        <v>10</v>
      </c>
      <c r="I383" s="1">
        <v>3</v>
      </c>
      <c r="J383" s="6">
        <v>7.4</v>
      </c>
      <c r="K383" s="1">
        <v>2</v>
      </c>
      <c r="L383" s="29"/>
      <c r="O383" s="3"/>
    </row>
    <row r="384" spans="1:15" x14ac:dyDescent="0.3">
      <c r="A384" s="1" t="s">
        <v>375</v>
      </c>
      <c r="B384" s="1" t="s">
        <v>9</v>
      </c>
      <c r="C384" s="11">
        <v>43610</v>
      </c>
      <c r="D384" s="12">
        <f t="shared" si="5"/>
        <v>2</v>
      </c>
      <c r="E384" s="1">
        <v>323</v>
      </c>
      <c r="F384" s="1">
        <v>291</v>
      </c>
      <c r="G384" s="19">
        <v>663.5</v>
      </c>
      <c r="H384" s="1" t="s">
        <v>10</v>
      </c>
      <c r="I384" s="1">
        <v>5</v>
      </c>
      <c r="J384" s="6">
        <v>48</v>
      </c>
      <c r="K384" s="1">
        <v>1</v>
      </c>
      <c r="L384" s="29"/>
      <c r="O384" s="3"/>
    </row>
    <row r="385" spans="1:15" x14ac:dyDescent="0.3">
      <c r="A385" s="1" t="s">
        <v>376</v>
      </c>
      <c r="B385" s="1" t="s">
        <v>9</v>
      </c>
      <c r="C385" s="11">
        <v>43610</v>
      </c>
      <c r="D385" s="12">
        <f t="shared" si="5"/>
        <v>2</v>
      </c>
      <c r="E385" s="1">
        <v>283</v>
      </c>
      <c r="F385" s="1">
        <v>257</v>
      </c>
      <c r="G385" s="19">
        <v>480.5</v>
      </c>
      <c r="H385" s="1" t="s">
        <v>28</v>
      </c>
      <c r="I385" s="1">
        <v>4</v>
      </c>
      <c r="J385" s="6">
        <v>22.9</v>
      </c>
      <c r="K385" s="1">
        <v>2</v>
      </c>
      <c r="L385" s="29"/>
      <c r="O385" s="3"/>
    </row>
    <row r="386" spans="1:15" x14ac:dyDescent="0.3">
      <c r="A386" s="1" t="s">
        <v>377</v>
      </c>
      <c r="B386" s="1" t="s">
        <v>9</v>
      </c>
      <c r="C386" s="11">
        <v>43558</v>
      </c>
      <c r="D386" s="12">
        <f t="shared" ref="D386:D449" si="6">ROUNDUP(MONTH(C386)/3,0)</f>
        <v>2</v>
      </c>
      <c r="E386" s="1">
        <v>253</v>
      </c>
      <c r="F386" s="1">
        <v>228</v>
      </c>
      <c r="G386" s="19">
        <v>341</v>
      </c>
      <c r="H386" s="1" t="s">
        <v>10</v>
      </c>
      <c r="I386" s="1">
        <v>4</v>
      </c>
      <c r="J386" s="6">
        <v>10.6</v>
      </c>
      <c r="K386" s="1">
        <v>1</v>
      </c>
      <c r="L386" s="29"/>
      <c r="O386" s="3"/>
    </row>
    <row r="387" spans="1:15" x14ac:dyDescent="0.3">
      <c r="A387" s="1" t="s">
        <v>378</v>
      </c>
      <c r="B387" s="1" t="s">
        <v>9</v>
      </c>
      <c r="C387" s="11">
        <v>43419</v>
      </c>
      <c r="D387" s="12">
        <f t="shared" si="6"/>
        <v>4</v>
      </c>
      <c r="E387" s="1">
        <v>174</v>
      </c>
      <c r="F387" s="1">
        <v>160</v>
      </c>
      <c r="G387" s="19">
        <v>132</v>
      </c>
      <c r="H387" s="1" t="s">
        <v>28</v>
      </c>
      <c r="I387" s="1">
        <v>3</v>
      </c>
      <c r="J387" s="6">
        <v>1.1000000000000001</v>
      </c>
      <c r="K387" s="1">
        <v>3</v>
      </c>
      <c r="L387" s="29"/>
      <c r="O387" s="3"/>
    </row>
    <row r="388" spans="1:15" x14ac:dyDescent="0.3">
      <c r="A388" s="1" t="s">
        <v>379</v>
      </c>
      <c r="B388" s="1" t="s">
        <v>9</v>
      </c>
      <c r="C388" s="11">
        <v>43419</v>
      </c>
      <c r="D388" s="12">
        <f t="shared" si="6"/>
        <v>4</v>
      </c>
      <c r="E388" s="1">
        <v>182</v>
      </c>
      <c r="F388" s="1">
        <v>168</v>
      </c>
      <c r="G388" s="19">
        <v>130.5</v>
      </c>
      <c r="H388" s="1" t="s">
        <v>10</v>
      </c>
      <c r="I388" s="1">
        <v>2</v>
      </c>
      <c r="J388" s="6">
        <v>0.6</v>
      </c>
      <c r="K388" s="1">
        <v>2</v>
      </c>
      <c r="L388" s="29"/>
      <c r="O388" s="3"/>
    </row>
    <row r="389" spans="1:15" x14ac:dyDescent="0.3">
      <c r="A389" s="1" t="s">
        <v>380</v>
      </c>
      <c r="B389" s="1" t="s">
        <v>9</v>
      </c>
      <c r="C389" s="11">
        <v>43419</v>
      </c>
      <c r="D389" s="12">
        <f t="shared" si="6"/>
        <v>4</v>
      </c>
      <c r="E389" s="1">
        <v>199</v>
      </c>
      <c r="F389" s="1">
        <v>186</v>
      </c>
      <c r="G389" s="19">
        <v>151.5</v>
      </c>
      <c r="H389" s="1" t="s">
        <v>10</v>
      </c>
      <c r="I389" s="1">
        <v>2</v>
      </c>
      <c r="J389" s="6">
        <v>1</v>
      </c>
      <c r="K389" s="1">
        <v>1</v>
      </c>
      <c r="L389" s="29"/>
      <c r="O389" s="3"/>
    </row>
    <row r="390" spans="1:15" x14ac:dyDescent="0.3">
      <c r="A390" s="1" t="s">
        <v>381</v>
      </c>
      <c r="B390" s="1" t="s">
        <v>9</v>
      </c>
      <c r="C390" s="11">
        <v>43419</v>
      </c>
      <c r="D390" s="12">
        <f t="shared" si="6"/>
        <v>4</v>
      </c>
      <c r="E390" s="1">
        <v>205</v>
      </c>
      <c r="F390" s="1">
        <v>175</v>
      </c>
      <c r="G390" s="19">
        <v>165.5</v>
      </c>
      <c r="H390" s="1" t="s">
        <v>28</v>
      </c>
      <c r="I390" s="1">
        <v>2</v>
      </c>
      <c r="J390" s="6">
        <v>0.1</v>
      </c>
      <c r="K390" s="1">
        <v>2</v>
      </c>
      <c r="L390" s="29"/>
      <c r="O390" s="3"/>
    </row>
    <row r="391" spans="1:15" x14ac:dyDescent="0.3">
      <c r="A391" s="1" t="s">
        <v>382</v>
      </c>
      <c r="B391" s="1" t="s">
        <v>9</v>
      </c>
      <c r="C391" s="11">
        <v>43419</v>
      </c>
      <c r="D391" s="12">
        <f t="shared" si="6"/>
        <v>4</v>
      </c>
      <c r="E391" s="1">
        <v>181</v>
      </c>
      <c r="F391" s="1">
        <v>167</v>
      </c>
      <c r="G391" s="19">
        <v>128</v>
      </c>
      <c r="H391" s="1" t="s">
        <v>10</v>
      </c>
      <c r="I391" s="1">
        <v>2</v>
      </c>
      <c r="J391" s="6">
        <v>0.6</v>
      </c>
      <c r="K391" s="1">
        <v>2</v>
      </c>
      <c r="L391" s="29"/>
      <c r="O391" s="3"/>
    </row>
    <row r="392" spans="1:15" x14ac:dyDescent="0.3">
      <c r="A392" s="1" t="s">
        <v>383</v>
      </c>
      <c r="B392" s="1" t="s">
        <v>9</v>
      </c>
      <c r="C392" s="11">
        <v>43519</v>
      </c>
      <c r="D392" s="12">
        <f t="shared" si="6"/>
        <v>1</v>
      </c>
      <c r="E392" s="1">
        <v>240</v>
      </c>
      <c r="F392" s="1">
        <v>217</v>
      </c>
      <c r="G392" s="19">
        <v>237</v>
      </c>
      <c r="H392" s="1" t="s">
        <v>28</v>
      </c>
      <c r="I392" s="1">
        <v>3</v>
      </c>
      <c r="J392" s="6">
        <v>4.0999999999999996</v>
      </c>
      <c r="K392" s="1">
        <v>3</v>
      </c>
      <c r="L392" s="29"/>
      <c r="O392" s="3"/>
    </row>
    <row r="393" spans="1:15" x14ac:dyDescent="0.3">
      <c r="A393" s="1" t="s">
        <v>384</v>
      </c>
      <c r="B393" s="1" t="s">
        <v>9</v>
      </c>
      <c r="C393" s="11">
        <v>43547</v>
      </c>
      <c r="D393" s="12">
        <f t="shared" si="6"/>
        <v>1</v>
      </c>
      <c r="E393" s="1">
        <v>291</v>
      </c>
      <c r="F393" s="1">
        <v>262</v>
      </c>
      <c r="G393" s="19">
        <v>492</v>
      </c>
      <c r="H393" s="1" t="s">
        <v>28</v>
      </c>
      <c r="I393" s="1">
        <v>2</v>
      </c>
      <c r="J393" s="6">
        <v>9.5</v>
      </c>
      <c r="K393" s="1">
        <v>3</v>
      </c>
      <c r="L393" s="29"/>
      <c r="O393" s="3"/>
    </row>
    <row r="394" spans="1:15" x14ac:dyDescent="0.3">
      <c r="A394" s="1" t="s">
        <v>385</v>
      </c>
      <c r="B394" s="1" t="s">
        <v>9</v>
      </c>
      <c r="C394" s="11">
        <v>43419</v>
      </c>
      <c r="D394" s="12">
        <f t="shared" si="6"/>
        <v>4</v>
      </c>
      <c r="E394" s="1">
        <v>218</v>
      </c>
      <c r="F394" s="1">
        <v>193</v>
      </c>
      <c r="G394" s="19">
        <v>201.5</v>
      </c>
      <c r="H394" s="1" t="s">
        <v>28</v>
      </c>
      <c r="I394" s="1">
        <v>1</v>
      </c>
      <c r="J394" s="6">
        <v>0.4</v>
      </c>
      <c r="K394" s="1">
        <v>0</v>
      </c>
      <c r="L394" s="29"/>
      <c r="O394" s="3"/>
    </row>
    <row r="395" spans="1:15" x14ac:dyDescent="0.3">
      <c r="A395" s="1" t="s">
        <v>386</v>
      </c>
      <c r="B395" s="1" t="s">
        <v>9</v>
      </c>
      <c r="C395" s="11">
        <v>43419</v>
      </c>
      <c r="D395" s="12">
        <f t="shared" si="6"/>
        <v>4</v>
      </c>
      <c r="E395" s="1">
        <v>241</v>
      </c>
      <c r="F395" s="1">
        <v>220</v>
      </c>
      <c r="G395" s="19">
        <v>295.5</v>
      </c>
      <c r="H395" s="1" t="s">
        <v>10</v>
      </c>
      <c r="I395" s="1">
        <v>2</v>
      </c>
      <c r="J395" s="6">
        <v>2.5</v>
      </c>
      <c r="K395" s="1">
        <v>3</v>
      </c>
      <c r="L395" s="29"/>
      <c r="O395" s="3"/>
    </row>
    <row r="396" spans="1:15" x14ac:dyDescent="0.3">
      <c r="A396" s="1" t="s">
        <v>387</v>
      </c>
      <c r="B396" s="1" t="s">
        <v>9</v>
      </c>
      <c r="C396" s="11">
        <v>43419</v>
      </c>
      <c r="D396" s="12">
        <f t="shared" si="6"/>
        <v>4</v>
      </c>
      <c r="E396" s="1">
        <v>225</v>
      </c>
      <c r="F396" s="1">
        <v>212</v>
      </c>
      <c r="G396" s="19">
        <v>258</v>
      </c>
      <c r="H396" s="1" t="s">
        <v>28</v>
      </c>
      <c r="I396" s="1">
        <v>2</v>
      </c>
      <c r="J396" s="6">
        <v>1.6</v>
      </c>
      <c r="K396" s="1">
        <v>2</v>
      </c>
      <c r="L396" s="29"/>
      <c r="O396" s="3"/>
    </row>
    <row r="397" spans="1:15" x14ac:dyDescent="0.3">
      <c r="A397" s="1" t="s">
        <v>388</v>
      </c>
      <c r="B397" s="1" t="s">
        <v>9</v>
      </c>
      <c r="C397" s="11">
        <v>43419</v>
      </c>
      <c r="D397" s="12">
        <f t="shared" si="6"/>
        <v>4</v>
      </c>
      <c r="E397" s="1">
        <v>199</v>
      </c>
      <c r="F397" s="1">
        <v>176</v>
      </c>
      <c r="G397" s="19">
        <v>149</v>
      </c>
      <c r="H397" s="1" t="s">
        <v>28</v>
      </c>
      <c r="I397" s="1">
        <v>1</v>
      </c>
      <c r="J397" s="6">
        <v>0</v>
      </c>
      <c r="K397" s="1">
        <v>3</v>
      </c>
      <c r="L397" s="29"/>
      <c r="O397" s="3"/>
    </row>
    <row r="398" spans="1:15" x14ac:dyDescent="0.3">
      <c r="A398" s="1" t="s">
        <v>389</v>
      </c>
      <c r="B398" s="1" t="s">
        <v>9</v>
      </c>
      <c r="C398" s="11">
        <v>43419</v>
      </c>
      <c r="D398" s="12">
        <f t="shared" si="6"/>
        <v>4</v>
      </c>
      <c r="E398" s="1">
        <v>256</v>
      </c>
      <c r="F398" s="1">
        <v>235</v>
      </c>
      <c r="G398" s="19">
        <v>347.5</v>
      </c>
      <c r="H398" s="1" t="s">
        <v>10</v>
      </c>
      <c r="I398" s="1">
        <v>3</v>
      </c>
      <c r="J398" s="6">
        <v>2.4</v>
      </c>
      <c r="K398" s="1">
        <v>1</v>
      </c>
      <c r="L398" s="29"/>
      <c r="O398" s="3"/>
    </row>
    <row r="399" spans="1:15" x14ac:dyDescent="0.3">
      <c r="A399" s="1" t="s">
        <v>390</v>
      </c>
      <c r="B399" s="1" t="s">
        <v>9</v>
      </c>
      <c r="C399" s="11">
        <v>43419</v>
      </c>
      <c r="D399" s="12">
        <f t="shared" si="6"/>
        <v>4</v>
      </c>
      <c r="E399" s="1">
        <v>213</v>
      </c>
      <c r="F399" s="1">
        <v>193</v>
      </c>
      <c r="G399" s="19">
        <v>201</v>
      </c>
      <c r="H399" s="1" t="s">
        <v>10</v>
      </c>
      <c r="I399" s="1">
        <v>2</v>
      </c>
      <c r="J399" s="6">
        <v>1.4</v>
      </c>
      <c r="K399" s="1">
        <v>2</v>
      </c>
      <c r="L399" s="29"/>
      <c r="O399" s="3"/>
    </row>
    <row r="400" spans="1:15" x14ac:dyDescent="0.3">
      <c r="A400" s="1" t="s">
        <v>391</v>
      </c>
      <c r="B400" s="1" t="s">
        <v>392</v>
      </c>
      <c r="C400" s="11">
        <v>43822</v>
      </c>
      <c r="D400" s="12">
        <f t="shared" si="6"/>
        <v>4</v>
      </c>
      <c r="E400" s="1">
        <v>175</v>
      </c>
      <c r="F400" s="1">
        <v>155</v>
      </c>
      <c r="G400" s="19">
        <v>103</v>
      </c>
      <c r="H400" s="1" t="s">
        <v>10</v>
      </c>
      <c r="I400" s="1">
        <v>2</v>
      </c>
      <c r="J400" s="6">
        <v>0.45</v>
      </c>
      <c r="K400" s="1">
        <v>0</v>
      </c>
      <c r="L400" s="29"/>
      <c r="O400" s="3"/>
    </row>
    <row r="401" spans="1:15" x14ac:dyDescent="0.3">
      <c r="A401" s="1" t="s">
        <v>393</v>
      </c>
      <c r="B401" s="1" t="s">
        <v>394</v>
      </c>
      <c r="C401" s="11">
        <v>43822</v>
      </c>
      <c r="D401" s="12">
        <f t="shared" si="6"/>
        <v>4</v>
      </c>
      <c r="E401" s="1">
        <v>221</v>
      </c>
      <c r="F401" s="1">
        <v>202</v>
      </c>
      <c r="G401" s="19">
        <v>215</v>
      </c>
      <c r="H401" s="1" t="s">
        <v>10</v>
      </c>
      <c r="I401" s="1">
        <v>2</v>
      </c>
      <c r="J401" s="6">
        <v>2.5</v>
      </c>
      <c r="K401" s="1">
        <v>1</v>
      </c>
      <c r="L401" s="29"/>
      <c r="O401" s="3"/>
    </row>
    <row r="402" spans="1:15" x14ac:dyDescent="0.3">
      <c r="A402" s="1" t="s">
        <v>395</v>
      </c>
      <c r="B402" s="1" t="s">
        <v>9</v>
      </c>
      <c r="C402" s="11">
        <v>43822</v>
      </c>
      <c r="D402" s="12">
        <f t="shared" si="6"/>
        <v>4</v>
      </c>
      <c r="E402" s="1">
        <v>186</v>
      </c>
      <c r="F402" s="1">
        <v>170</v>
      </c>
      <c r="G402" s="19">
        <v>113</v>
      </c>
      <c r="H402" s="13" t="s">
        <v>28</v>
      </c>
      <c r="I402" s="1">
        <v>2</v>
      </c>
      <c r="J402" s="6">
        <v>0.6</v>
      </c>
      <c r="K402" s="1">
        <v>1</v>
      </c>
      <c r="L402" s="29"/>
      <c r="O402" s="3"/>
    </row>
    <row r="403" spans="1:15" x14ac:dyDescent="0.3">
      <c r="A403" s="1" t="s">
        <v>396</v>
      </c>
      <c r="B403" s="1" t="s">
        <v>9</v>
      </c>
      <c r="C403" s="11">
        <v>43822</v>
      </c>
      <c r="D403" s="12">
        <f t="shared" si="6"/>
        <v>4</v>
      </c>
      <c r="E403" s="1">
        <v>196</v>
      </c>
      <c r="F403" s="1">
        <v>177</v>
      </c>
      <c r="G403" s="19">
        <v>140</v>
      </c>
      <c r="H403" s="13" t="s">
        <v>10</v>
      </c>
      <c r="I403" s="1">
        <v>2</v>
      </c>
      <c r="J403" s="6">
        <v>1</v>
      </c>
      <c r="K403" s="1">
        <v>1</v>
      </c>
      <c r="L403" s="29"/>
      <c r="O403" s="3"/>
    </row>
    <row r="404" spans="1:15" x14ac:dyDescent="0.3">
      <c r="A404" s="1" t="s">
        <v>397</v>
      </c>
      <c r="B404" s="1" t="s">
        <v>9</v>
      </c>
      <c r="C404" s="11">
        <v>43822</v>
      </c>
      <c r="D404" s="12">
        <f t="shared" si="6"/>
        <v>4</v>
      </c>
      <c r="E404" s="1">
        <v>221</v>
      </c>
      <c r="F404" s="1">
        <v>206</v>
      </c>
      <c r="G404" s="19">
        <v>218</v>
      </c>
      <c r="H404" s="13" t="s">
        <v>10</v>
      </c>
      <c r="I404" s="1">
        <v>4</v>
      </c>
      <c r="J404" s="6">
        <v>6.81</v>
      </c>
      <c r="K404" s="1">
        <v>0</v>
      </c>
      <c r="L404" s="29"/>
      <c r="O404" s="3"/>
    </row>
    <row r="405" spans="1:15" x14ac:dyDescent="0.3">
      <c r="A405" s="1" t="s">
        <v>398</v>
      </c>
      <c r="B405" s="1" t="s">
        <v>9</v>
      </c>
      <c r="C405" s="11">
        <v>43822</v>
      </c>
      <c r="D405" s="12">
        <f t="shared" si="6"/>
        <v>4</v>
      </c>
      <c r="E405" s="1">
        <v>241</v>
      </c>
      <c r="F405" s="1">
        <v>215</v>
      </c>
      <c r="G405" s="19">
        <v>262</v>
      </c>
      <c r="H405" s="13" t="s">
        <v>10</v>
      </c>
      <c r="I405" s="1">
        <v>2</v>
      </c>
      <c r="J405" s="6">
        <v>2.6</v>
      </c>
      <c r="K405" s="1">
        <v>1</v>
      </c>
      <c r="L405" s="29"/>
      <c r="O405" s="3"/>
    </row>
    <row r="406" spans="1:15" x14ac:dyDescent="0.3">
      <c r="A406" s="1" t="s">
        <v>399</v>
      </c>
      <c r="B406" s="1" t="s">
        <v>9</v>
      </c>
      <c r="C406" s="11">
        <v>43822</v>
      </c>
      <c r="D406" s="12">
        <f t="shared" si="6"/>
        <v>4</v>
      </c>
      <c r="E406" s="1">
        <v>278</v>
      </c>
      <c r="F406" s="1">
        <v>254</v>
      </c>
      <c r="G406" s="19">
        <v>374</v>
      </c>
      <c r="H406" s="13" t="s">
        <v>10</v>
      </c>
      <c r="I406" s="1">
        <v>2</v>
      </c>
      <c r="J406" s="6">
        <v>4.4000000000000004</v>
      </c>
      <c r="K406" s="1">
        <v>1</v>
      </c>
      <c r="L406" s="29"/>
      <c r="O406" s="3"/>
    </row>
    <row r="407" spans="1:15" x14ac:dyDescent="0.3">
      <c r="A407" s="1" t="s">
        <v>400</v>
      </c>
      <c r="B407" s="1" t="s">
        <v>9</v>
      </c>
      <c r="C407" s="11">
        <v>44402</v>
      </c>
      <c r="D407" s="12">
        <f t="shared" si="6"/>
        <v>3</v>
      </c>
      <c r="E407" s="1">
        <v>199</v>
      </c>
      <c r="F407" s="1">
        <v>186</v>
      </c>
      <c r="G407" s="19">
        <v>155.19999999999999</v>
      </c>
      <c r="H407" s="1" t="s">
        <v>28</v>
      </c>
      <c r="I407" s="1">
        <v>4</v>
      </c>
      <c r="J407" s="6">
        <v>3.4</v>
      </c>
      <c r="K407" s="1">
        <v>0</v>
      </c>
      <c r="L407" s="29"/>
      <c r="O407" s="3"/>
    </row>
    <row r="408" spans="1:15" x14ac:dyDescent="0.3">
      <c r="A408" s="1" t="s">
        <v>401</v>
      </c>
      <c r="B408" s="1" t="s">
        <v>9</v>
      </c>
      <c r="C408" s="11">
        <v>44402</v>
      </c>
      <c r="D408" s="12">
        <f t="shared" si="6"/>
        <v>3</v>
      </c>
      <c r="E408" s="1">
        <v>225</v>
      </c>
      <c r="F408" s="1">
        <v>211</v>
      </c>
      <c r="G408" s="19">
        <v>244.7</v>
      </c>
      <c r="H408" s="1" t="s">
        <v>28</v>
      </c>
      <c r="I408" s="1">
        <v>4</v>
      </c>
      <c r="J408" s="6">
        <v>3.5</v>
      </c>
      <c r="K408" s="1">
        <v>1</v>
      </c>
      <c r="L408" s="29"/>
      <c r="O408" s="3"/>
    </row>
    <row r="409" spans="1:15" x14ac:dyDescent="0.3">
      <c r="A409" s="1" t="s">
        <v>402</v>
      </c>
      <c r="B409" s="1" t="s">
        <v>9</v>
      </c>
      <c r="C409" s="11">
        <v>44402</v>
      </c>
      <c r="D409" s="12">
        <f t="shared" si="6"/>
        <v>3</v>
      </c>
      <c r="E409" s="1">
        <v>301</v>
      </c>
      <c r="F409" s="1">
        <v>284</v>
      </c>
      <c r="G409" s="19">
        <v>598.79999999999995</v>
      </c>
      <c r="H409" s="1" t="s">
        <v>10</v>
      </c>
      <c r="I409" s="1">
        <v>5</v>
      </c>
      <c r="J409" s="6">
        <v>25.4</v>
      </c>
      <c r="K409" s="1">
        <v>0</v>
      </c>
      <c r="L409" s="29"/>
      <c r="O409" s="3"/>
    </row>
    <row r="410" spans="1:15" x14ac:dyDescent="0.3">
      <c r="A410" s="1" t="s">
        <v>403</v>
      </c>
      <c r="B410" s="1" t="s">
        <v>9</v>
      </c>
      <c r="C410" s="11">
        <v>44402</v>
      </c>
      <c r="D410" s="12">
        <f t="shared" si="6"/>
        <v>3</v>
      </c>
      <c r="E410" s="1">
        <v>281</v>
      </c>
      <c r="F410" s="1">
        <v>262</v>
      </c>
      <c r="G410" s="19">
        <v>424</v>
      </c>
      <c r="H410" s="1" t="s">
        <v>28</v>
      </c>
      <c r="J410" s="6">
        <v>4.4000000000000004</v>
      </c>
      <c r="K410" s="1">
        <v>0</v>
      </c>
      <c r="L410" s="29"/>
      <c r="O410" s="3"/>
    </row>
    <row r="411" spans="1:15" x14ac:dyDescent="0.3">
      <c r="A411" s="1" t="s">
        <v>404</v>
      </c>
      <c r="B411" s="1" t="s">
        <v>9</v>
      </c>
      <c r="C411" s="11">
        <v>44402</v>
      </c>
      <c r="D411" s="12">
        <f t="shared" si="6"/>
        <v>3</v>
      </c>
      <c r="E411" s="1">
        <v>329</v>
      </c>
      <c r="F411" s="1">
        <v>312</v>
      </c>
      <c r="G411" s="19">
        <v>733.9</v>
      </c>
      <c r="H411" s="1" t="s">
        <v>10</v>
      </c>
      <c r="I411" s="1">
        <v>5</v>
      </c>
      <c r="J411" s="6">
        <v>30.5</v>
      </c>
      <c r="K411" s="1">
        <v>1</v>
      </c>
      <c r="L411" s="29"/>
      <c r="O411" s="3"/>
    </row>
    <row r="412" spans="1:15" x14ac:dyDescent="0.3">
      <c r="A412" s="1" t="s">
        <v>405</v>
      </c>
      <c r="B412" s="1" t="s">
        <v>9</v>
      </c>
      <c r="C412" s="11">
        <v>44402</v>
      </c>
      <c r="D412" s="12">
        <f t="shared" si="6"/>
        <v>3</v>
      </c>
      <c r="E412" s="1">
        <v>207</v>
      </c>
      <c r="F412" s="1">
        <v>186</v>
      </c>
      <c r="G412" s="19">
        <v>170.5</v>
      </c>
      <c r="H412" s="1" t="s">
        <v>10</v>
      </c>
      <c r="I412" s="1">
        <v>5</v>
      </c>
      <c r="J412" s="6">
        <v>5.7</v>
      </c>
      <c r="K412" s="1">
        <v>0</v>
      </c>
      <c r="L412" s="29"/>
      <c r="O412" s="3"/>
    </row>
    <row r="413" spans="1:15" x14ac:dyDescent="0.3">
      <c r="A413" s="1" t="s">
        <v>406</v>
      </c>
      <c r="B413" s="1" t="s">
        <v>9</v>
      </c>
      <c r="C413" s="11">
        <v>44402</v>
      </c>
      <c r="D413" s="12">
        <f t="shared" si="6"/>
        <v>3</v>
      </c>
      <c r="E413" s="1">
        <v>255</v>
      </c>
      <c r="F413" s="1">
        <v>229</v>
      </c>
      <c r="G413" s="19">
        <v>276.5</v>
      </c>
      <c r="H413" s="1" t="s">
        <v>28</v>
      </c>
      <c r="I413" s="1">
        <v>4</v>
      </c>
      <c r="J413" s="6">
        <v>4.5999999999999996</v>
      </c>
      <c r="K413" s="1">
        <v>1</v>
      </c>
      <c r="L413" s="29"/>
      <c r="O413" s="3"/>
    </row>
    <row r="414" spans="1:15" x14ac:dyDescent="0.3">
      <c r="A414" s="1" t="s">
        <v>412</v>
      </c>
      <c r="B414" s="1" t="s">
        <v>9</v>
      </c>
      <c r="C414" s="11">
        <v>44402</v>
      </c>
      <c r="D414" s="12">
        <f t="shared" si="6"/>
        <v>3</v>
      </c>
      <c r="E414" s="1">
        <v>270</v>
      </c>
      <c r="F414" s="1">
        <v>242</v>
      </c>
      <c r="G414" s="19">
        <v>379.9</v>
      </c>
      <c r="H414" s="1" t="s">
        <v>28</v>
      </c>
      <c r="I414" s="1">
        <v>4</v>
      </c>
      <c r="J414" s="6">
        <v>6.7</v>
      </c>
      <c r="K414" s="1">
        <v>1</v>
      </c>
      <c r="L414" s="29"/>
      <c r="O414" s="3"/>
    </row>
    <row r="415" spans="1:15" x14ac:dyDescent="0.3">
      <c r="A415" s="1" t="s">
        <v>407</v>
      </c>
      <c r="B415" s="1" t="s">
        <v>9</v>
      </c>
      <c r="C415" s="11">
        <v>44402</v>
      </c>
      <c r="D415" s="12">
        <f t="shared" si="6"/>
        <v>3</v>
      </c>
      <c r="E415" s="1">
        <v>221</v>
      </c>
      <c r="F415" s="1">
        <v>205</v>
      </c>
      <c r="G415" s="19">
        <v>200.1</v>
      </c>
      <c r="H415" s="1" t="s">
        <v>28</v>
      </c>
      <c r="I415" s="1">
        <v>4</v>
      </c>
      <c r="J415" s="6">
        <v>5.8</v>
      </c>
      <c r="K415" s="1">
        <v>0</v>
      </c>
      <c r="L415" s="29"/>
      <c r="O415" s="3"/>
    </row>
    <row r="416" spans="1:15" x14ac:dyDescent="0.3">
      <c r="A416" s="1" t="s">
        <v>408</v>
      </c>
      <c r="B416" s="1" t="s">
        <v>9</v>
      </c>
      <c r="C416" s="11">
        <v>44402</v>
      </c>
      <c r="D416" s="12">
        <f t="shared" si="6"/>
        <v>3</v>
      </c>
      <c r="E416" s="1">
        <v>236</v>
      </c>
      <c r="F416" s="1">
        <v>219</v>
      </c>
      <c r="G416" s="19">
        <v>256.89999999999998</v>
      </c>
      <c r="H416" s="1" t="s">
        <v>10</v>
      </c>
      <c r="I416" s="1">
        <v>3</v>
      </c>
      <c r="J416" s="6">
        <v>10</v>
      </c>
      <c r="K416" s="1">
        <v>0</v>
      </c>
      <c r="L416" s="29"/>
      <c r="O416" s="3"/>
    </row>
    <row r="417" spans="1:15" x14ac:dyDescent="0.3">
      <c r="A417" s="1" t="s">
        <v>409</v>
      </c>
      <c r="B417" s="1" t="s">
        <v>9</v>
      </c>
      <c r="C417" s="11">
        <v>44402</v>
      </c>
      <c r="D417" s="12">
        <f t="shared" si="6"/>
        <v>3</v>
      </c>
      <c r="E417" s="1">
        <v>263</v>
      </c>
      <c r="F417" s="1">
        <v>245</v>
      </c>
      <c r="G417" s="19">
        <v>359</v>
      </c>
      <c r="H417" s="1" t="s">
        <v>28</v>
      </c>
      <c r="I417" s="1">
        <v>4</v>
      </c>
      <c r="J417" s="6">
        <v>6.8</v>
      </c>
      <c r="K417" s="1">
        <v>1</v>
      </c>
      <c r="L417" s="29"/>
      <c r="O417" s="3"/>
    </row>
    <row r="418" spans="1:15" x14ac:dyDescent="0.3">
      <c r="A418" s="1" t="s">
        <v>410</v>
      </c>
      <c r="B418" s="1" t="s">
        <v>9</v>
      </c>
      <c r="C418" s="11">
        <v>44402</v>
      </c>
      <c r="D418" s="12">
        <f t="shared" si="6"/>
        <v>3</v>
      </c>
      <c r="E418" s="1">
        <v>256</v>
      </c>
      <c r="F418" s="1">
        <v>239</v>
      </c>
      <c r="G418" s="19">
        <v>318</v>
      </c>
      <c r="H418" s="1" t="s">
        <v>28</v>
      </c>
      <c r="I418" s="1">
        <v>4</v>
      </c>
      <c r="J418" s="6">
        <v>6.4</v>
      </c>
      <c r="K418" s="1">
        <v>1</v>
      </c>
      <c r="L418" s="29"/>
      <c r="O418" s="3"/>
    </row>
    <row r="419" spans="1:15" x14ac:dyDescent="0.3">
      <c r="A419" s="1" t="s">
        <v>411</v>
      </c>
      <c r="B419" s="1" t="s">
        <v>9</v>
      </c>
      <c r="C419" s="11">
        <v>44773</v>
      </c>
      <c r="D419" s="12">
        <f t="shared" si="6"/>
        <v>3</v>
      </c>
      <c r="E419" s="1">
        <v>224</v>
      </c>
      <c r="F419" s="1">
        <v>202</v>
      </c>
      <c r="G419" s="19">
        <v>217.5</v>
      </c>
      <c r="H419" s="13" t="s">
        <v>10</v>
      </c>
      <c r="I419" s="1">
        <v>3</v>
      </c>
      <c r="J419" s="6">
        <v>3.5</v>
      </c>
      <c r="K419" s="1">
        <v>1</v>
      </c>
      <c r="L419" s="29"/>
      <c r="O419" s="3"/>
    </row>
    <row r="420" spans="1:15" x14ac:dyDescent="0.3">
      <c r="A420" s="1" t="s">
        <v>413</v>
      </c>
      <c r="B420" s="1" t="s">
        <v>9</v>
      </c>
      <c r="C420" s="11">
        <v>44773</v>
      </c>
      <c r="D420" s="12">
        <f t="shared" si="6"/>
        <v>3</v>
      </c>
      <c r="E420" s="1">
        <v>232</v>
      </c>
      <c r="F420" s="1">
        <v>207</v>
      </c>
      <c r="G420" s="19">
        <v>244</v>
      </c>
      <c r="H420" s="13" t="s">
        <v>10</v>
      </c>
      <c r="I420" s="1">
        <v>4</v>
      </c>
      <c r="J420" s="6">
        <v>8.2100000000000009</v>
      </c>
      <c r="K420" s="1">
        <v>2</v>
      </c>
      <c r="L420" s="29"/>
      <c r="O420" s="3"/>
    </row>
    <row r="421" spans="1:15" x14ac:dyDescent="0.3">
      <c r="A421" s="1" t="s">
        <v>414</v>
      </c>
      <c r="B421" s="1" t="s">
        <v>9</v>
      </c>
      <c r="C421" s="11">
        <v>44773</v>
      </c>
      <c r="D421" s="12">
        <f t="shared" si="6"/>
        <v>3</v>
      </c>
      <c r="E421" s="1">
        <v>258</v>
      </c>
      <c r="F421" s="1">
        <v>237</v>
      </c>
      <c r="G421" s="19">
        <v>326.85000000000002</v>
      </c>
      <c r="H421" s="13" t="s">
        <v>10</v>
      </c>
      <c r="I421" s="1">
        <v>4</v>
      </c>
      <c r="J421" s="6">
        <v>9.24</v>
      </c>
      <c r="K421" s="1">
        <v>1</v>
      </c>
      <c r="L421" s="29"/>
      <c r="O421" s="3"/>
    </row>
    <row r="422" spans="1:15" x14ac:dyDescent="0.3">
      <c r="A422" s="1" t="s">
        <v>415</v>
      </c>
      <c r="B422" s="1" t="s">
        <v>9</v>
      </c>
      <c r="C422" s="11">
        <v>44773</v>
      </c>
      <c r="D422" s="12">
        <f t="shared" si="6"/>
        <v>3</v>
      </c>
      <c r="E422" s="1">
        <v>241</v>
      </c>
      <c r="F422" s="1">
        <v>218</v>
      </c>
      <c r="G422" s="19">
        <v>234.5</v>
      </c>
      <c r="H422" s="13" t="s">
        <v>28</v>
      </c>
      <c r="I422" s="1">
        <v>4</v>
      </c>
      <c r="J422" s="6">
        <v>5</v>
      </c>
      <c r="K422" s="1">
        <v>0</v>
      </c>
      <c r="L422" s="29"/>
      <c r="O422" s="3"/>
    </row>
    <row r="423" spans="1:15" x14ac:dyDescent="0.3">
      <c r="A423" s="1" t="s">
        <v>416</v>
      </c>
      <c r="B423" s="1" t="s">
        <v>9</v>
      </c>
      <c r="C423" s="11">
        <v>44714</v>
      </c>
      <c r="D423" s="12">
        <f t="shared" si="6"/>
        <v>2</v>
      </c>
      <c r="E423" s="1">
        <v>251</v>
      </c>
      <c r="F423" s="1">
        <v>204</v>
      </c>
      <c r="G423" s="19">
        <v>284.93</v>
      </c>
      <c r="H423" s="13" t="s">
        <v>10</v>
      </c>
      <c r="I423" s="1">
        <v>6</v>
      </c>
      <c r="J423" s="6">
        <v>21.6</v>
      </c>
      <c r="K423" s="1">
        <v>0</v>
      </c>
      <c r="L423" s="29"/>
      <c r="O423" s="3"/>
    </row>
    <row r="424" spans="1:15" x14ac:dyDescent="0.3">
      <c r="A424" s="1" t="s">
        <v>417</v>
      </c>
      <c r="B424" s="1" t="s">
        <v>9</v>
      </c>
      <c r="C424" s="11">
        <v>44714</v>
      </c>
      <c r="D424" s="12">
        <f t="shared" si="6"/>
        <v>2</v>
      </c>
      <c r="E424" s="1">
        <v>225</v>
      </c>
      <c r="F424" s="1">
        <v>211</v>
      </c>
      <c r="G424" s="19">
        <v>240</v>
      </c>
      <c r="H424" s="13" t="s">
        <v>10</v>
      </c>
      <c r="I424" s="1">
        <v>4</v>
      </c>
      <c r="J424" s="6">
        <v>11.5</v>
      </c>
      <c r="K424" s="1">
        <v>1</v>
      </c>
      <c r="L424" s="29"/>
      <c r="O424" s="3"/>
    </row>
    <row r="425" spans="1:15" x14ac:dyDescent="0.3">
      <c r="A425" s="1" t="s">
        <v>418</v>
      </c>
      <c r="B425" s="1" t="s">
        <v>9</v>
      </c>
      <c r="C425" s="11">
        <v>44714</v>
      </c>
      <c r="D425" s="12">
        <f t="shared" si="6"/>
        <v>2</v>
      </c>
      <c r="E425" s="1">
        <v>226</v>
      </c>
      <c r="F425" s="1">
        <v>208</v>
      </c>
      <c r="G425" s="19">
        <v>252</v>
      </c>
      <c r="H425" s="13" t="s">
        <v>10</v>
      </c>
      <c r="I425" s="1">
        <v>4</v>
      </c>
      <c r="J425" s="6">
        <v>16.5</v>
      </c>
      <c r="K425" s="1">
        <v>1</v>
      </c>
      <c r="L425" s="29"/>
      <c r="O425" s="3"/>
    </row>
    <row r="426" spans="1:15" x14ac:dyDescent="0.3">
      <c r="A426" s="1" t="s">
        <v>419</v>
      </c>
      <c r="B426" s="1" t="s">
        <v>9</v>
      </c>
      <c r="C426" s="11">
        <v>44714</v>
      </c>
      <c r="D426" s="12">
        <f t="shared" si="6"/>
        <v>2</v>
      </c>
      <c r="E426" s="1">
        <v>239</v>
      </c>
      <c r="F426" s="1">
        <v>190</v>
      </c>
      <c r="G426" s="19">
        <v>271.33</v>
      </c>
      <c r="H426" s="13" t="s">
        <v>10</v>
      </c>
      <c r="J426" s="6">
        <v>16.399999999999999</v>
      </c>
      <c r="K426" s="1">
        <v>1</v>
      </c>
      <c r="L426" s="29"/>
      <c r="O426" s="3"/>
    </row>
    <row r="427" spans="1:15" x14ac:dyDescent="0.3">
      <c r="A427" s="1" t="s">
        <v>420</v>
      </c>
      <c r="B427" s="1" t="s">
        <v>9</v>
      </c>
      <c r="C427" s="11">
        <v>44714</v>
      </c>
      <c r="D427" s="12">
        <f t="shared" si="6"/>
        <v>2</v>
      </c>
      <c r="E427" s="1">
        <v>245</v>
      </c>
      <c r="F427" s="1">
        <v>220</v>
      </c>
      <c r="G427" s="19">
        <v>250</v>
      </c>
      <c r="H427" s="13" t="s">
        <v>10</v>
      </c>
      <c r="I427" s="1">
        <v>4</v>
      </c>
      <c r="J427" s="6">
        <v>11</v>
      </c>
      <c r="K427" s="1">
        <v>0</v>
      </c>
      <c r="L427" s="29"/>
      <c r="O427" s="3"/>
    </row>
    <row r="428" spans="1:15" x14ac:dyDescent="0.3">
      <c r="A428" s="1" t="s">
        <v>421</v>
      </c>
      <c r="B428" s="1" t="s">
        <v>9</v>
      </c>
      <c r="C428" s="11">
        <v>44781</v>
      </c>
      <c r="D428" s="12">
        <f t="shared" si="6"/>
        <v>3</v>
      </c>
      <c r="E428" s="1">
        <v>291</v>
      </c>
      <c r="F428" s="1">
        <v>263</v>
      </c>
      <c r="G428" s="19">
        <v>410.24</v>
      </c>
      <c r="H428" s="13" t="s">
        <v>10</v>
      </c>
      <c r="I428" s="1">
        <v>4</v>
      </c>
      <c r="J428" s="6">
        <v>17.2</v>
      </c>
      <c r="K428" s="1">
        <v>1</v>
      </c>
      <c r="L428" s="29"/>
      <c r="O428" s="3"/>
    </row>
    <row r="429" spans="1:15" x14ac:dyDescent="0.3">
      <c r="A429" s="1" t="s">
        <v>422</v>
      </c>
      <c r="B429" s="1" t="s">
        <v>9</v>
      </c>
      <c r="C429" s="11">
        <v>44781</v>
      </c>
      <c r="D429" s="12">
        <f t="shared" si="6"/>
        <v>3</v>
      </c>
      <c r="E429" s="1">
        <v>340</v>
      </c>
      <c r="F429" s="1">
        <v>305</v>
      </c>
      <c r="G429" s="19">
        <v>697</v>
      </c>
      <c r="H429" s="13" t="s">
        <v>10</v>
      </c>
      <c r="I429" s="1">
        <v>3</v>
      </c>
      <c r="J429" s="6">
        <v>30.69</v>
      </c>
      <c r="K429" s="1">
        <v>0</v>
      </c>
      <c r="L429" s="29"/>
      <c r="O429" s="3"/>
    </row>
    <row r="430" spans="1:15" x14ac:dyDescent="0.3">
      <c r="A430" s="1" t="s">
        <v>423</v>
      </c>
      <c r="B430" s="1" t="s">
        <v>9</v>
      </c>
      <c r="C430" s="11">
        <v>44781</v>
      </c>
      <c r="D430" s="12">
        <f t="shared" si="6"/>
        <v>3</v>
      </c>
      <c r="E430" s="1">
        <v>348</v>
      </c>
      <c r="F430" s="1">
        <v>319</v>
      </c>
      <c r="G430" s="19">
        <v>699.5</v>
      </c>
      <c r="H430" s="13" t="s">
        <v>10</v>
      </c>
      <c r="I430" s="1">
        <v>3</v>
      </c>
      <c r="J430" s="6">
        <v>23</v>
      </c>
      <c r="K430" s="1">
        <v>0</v>
      </c>
      <c r="L430" s="29"/>
      <c r="O430" s="3"/>
    </row>
    <row r="431" spans="1:15" x14ac:dyDescent="0.3">
      <c r="A431" s="1" t="s">
        <v>424</v>
      </c>
      <c r="B431" s="1" t="s">
        <v>9</v>
      </c>
      <c r="C431" s="11">
        <v>44781</v>
      </c>
      <c r="D431" s="12">
        <f t="shared" si="6"/>
        <v>3</v>
      </c>
      <c r="E431" s="1">
        <v>257</v>
      </c>
      <c r="F431" s="1">
        <v>231</v>
      </c>
      <c r="G431" s="19">
        <v>310.8</v>
      </c>
      <c r="H431" s="13" t="s">
        <v>10</v>
      </c>
      <c r="I431" s="1">
        <v>4</v>
      </c>
      <c r="J431" s="6">
        <v>18.2</v>
      </c>
      <c r="K431" s="1">
        <v>1</v>
      </c>
      <c r="L431" s="29"/>
      <c r="O431" s="3"/>
    </row>
    <row r="432" spans="1:15" x14ac:dyDescent="0.3">
      <c r="A432" s="1" t="s">
        <v>425</v>
      </c>
      <c r="B432" s="1" t="s">
        <v>9</v>
      </c>
      <c r="C432" s="11">
        <v>44689</v>
      </c>
      <c r="D432" s="12">
        <f t="shared" si="6"/>
        <v>2</v>
      </c>
      <c r="E432" s="1">
        <v>241</v>
      </c>
      <c r="F432" s="1">
        <v>216</v>
      </c>
      <c r="G432" s="19">
        <v>281</v>
      </c>
      <c r="H432" s="13" t="s">
        <v>28</v>
      </c>
      <c r="I432" s="1">
        <v>4</v>
      </c>
      <c r="J432" s="6">
        <v>16.21</v>
      </c>
      <c r="K432" s="1">
        <v>1</v>
      </c>
      <c r="L432" s="29"/>
      <c r="O432" s="3"/>
    </row>
    <row r="433" spans="1:15" x14ac:dyDescent="0.3">
      <c r="A433" s="1" t="s">
        <v>426</v>
      </c>
      <c r="B433" s="1" t="s">
        <v>9</v>
      </c>
      <c r="C433" s="11">
        <v>44689</v>
      </c>
      <c r="D433" s="12">
        <f t="shared" si="6"/>
        <v>2</v>
      </c>
      <c r="E433" s="1">
        <v>253</v>
      </c>
      <c r="F433" s="1">
        <v>226</v>
      </c>
      <c r="G433" s="19">
        <v>328</v>
      </c>
      <c r="H433" s="13" t="s">
        <v>28</v>
      </c>
      <c r="I433" s="1">
        <v>5</v>
      </c>
      <c r="J433" s="6">
        <v>16.100000000000001</v>
      </c>
      <c r="K433" s="1">
        <v>2</v>
      </c>
      <c r="L433" s="29"/>
      <c r="O433" s="3"/>
    </row>
    <row r="434" spans="1:15" x14ac:dyDescent="0.3">
      <c r="A434" s="1" t="s">
        <v>427</v>
      </c>
      <c r="B434" s="1" t="s">
        <v>9</v>
      </c>
      <c r="C434" s="11">
        <v>44689</v>
      </c>
      <c r="D434" s="12">
        <f t="shared" si="6"/>
        <v>2</v>
      </c>
      <c r="E434" s="1">
        <v>283</v>
      </c>
      <c r="F434" s="1">
        <v>250</v>
      </c>
      <c r="G434" s="19">
        <v>474.4</v>
      </c>
      <c r="H434" s="13" t="s">
        <v>28</v>
      </c>
      <c r="I434" s="1">
        <v>4</v>
      </c>
      <c r="J434" s="6">
        <v>4.25</v>
      </c>
      <c r="K434" s="1">
        <v>2</v>
      </c>
      <c r="L434" s="29"/>
      <c r="O434" s="3"/>
    </row>
    <row r="435" spans="1:15" x14ac:dyDescent="0.3">
      <c r="A435" s="1" t="s">
        <v>428</v>
      </c>
      <c r="B435" s="1" t="s">
        <v>9</v>
      </c>
      <c r="C435" s="11">
        <v>44689</v>
      </c>
      <c r="D435" s="12">
        <f t="shared" si="6"/>
        <v>2</v>
      </c>
      <c r="E435" s="1">
        <v>222</v>
      </c>
      <c r="F435" s="1">
        <v>202</v>
      </c>
      <c r="G435" s="19">
        <v>226.45</v>
      </c>
      <c r="H435" s="13" t="s">
        <v>28</v>
      </c>
      <c r="I435" s="1">
        <v>4</v>
      </c>
      <c r="J435" s="6">
        <v>17.14</v>
      </c>
      <c r="K435" s="1">
        <v>1</v>
      </c>
      <c r="L435" s="29"/>
      <c r="O435" s="3"/>
    </row>
    <row r="436" spans="1:15" x14ac:dyDescent="0.3">
      <c r="A436" s="1" t="s">
        <v>429</v>
      </c>
      <c r="B436" s="1" t="s">
        <v>9</v>
      </c>
      <c r="C436" s="11">
        <v>44689</v>
      </c>
      <c r="D436" s="12">
        <f t="shared" si="6"/>
        <v>2</v>
      </c>
      <c r="E436" s="1">
        <v>273</v>
      </c>
      <c r="F436" s="1">
        <v>247</v>
      </c>
      <c r="G436" s="19">
        <v>444</v>
      </c>
      <c r="H436" s="13" t="s">
        <v>28</v>
      </c>
      <c r="I436" s="1">
        <v>5</v>
      </c>
      <c r="J436" s="6">
        <v>33.15</v>
      </c>
      <c r="K436" s="1">
        <v>2</v>
      </c>
      <c r="L436" s="29"/>
      <c r="O436" s="3"/>
    </row>
    <row r="437" spans="1:15" x14ac:dyDescent="0.3">
      <c r="A437" s="1" t="s">
        <v>430</v>
      </c>
      <c r="B437" s="1" t="s">
        <v>9</v>
      </c>
      <c r="C437" s="11">
        <v>44689</v>
      </c>
      <c r="D437" s="12">
        <f t="shared" si="6"/>
        <v>2</v>
      </c>
      <c r="E437" s="1">
        <v>322</v>
      </c>
      <c r="F437" s="1">
        <v>299</v>
      </c>
      <c r="G437" s="19">
        <v>720.5</v>
      </c>
      <c r="H437" s="13" t="s">
        <v>28</v>
      </c>
      <c r="I437" s="1">
        <v>5</v>
      </c>
      <c r="J437" s="6">
        <v>34.549999999999997</v>
      </c>
      <c r="K437" s="1">
        <v>0</v>
      </c>
      <c r="L437" s="29"/>
      <c r="O437" s="3"/>
    </row>
    <row r="438" spans="1:15" x14ac:dyDescent="0.3">
      <c r="A438" s="1" t="s">
        <v>431</v>
      </c>
      <c r="B438" s="1" t="s">
        <v>9</v>
      </c>
      <c r="C438" s="11">
        <v>44714</v>
      </c>
      <c r="D438" s="12">
        <f t="shared" si="6"/>
        <v>2</v>
      </c>
      <c r="E438" s="1">
        <v>284</v>
      </c>
      <c r="F438" s="1">
        <v>262</v>
      </c>
      <c r="G438" s="19">
        <v>437</v>
      </c>
      <c r="H438" s="13" t="s">
        <v>28</v>
      </c>
      <c r="I438" s="1">
        <v>4</v>
      </c>
      <c r="J438" s="6">
        <v>16.899999999999999</v>
      </c>
      <c r="K438" s="1">
        <v>0</v>
      </c>
      <c r="L438" s="29"/>
      <c r="O438" s="3"/>
    </row>
    <row r="439" spans="1:15" x14ac:dyDescent="0.3">
      <c r="A439" s="1" t="s">
        <v>432</v>
      </c>
      <c r="B439" s="1" t="s">
        <v>9</v>
      </c>
      <c r="C439" s="11">
        <v>44749</v>
      </c>
      <c r="D439" s="12">
        <f t="shared" si="6"/>
        <v>3</v>
      </c>
      <c r="E439" s="1">
        <v>307</v>
      </c>
      <c r="F439" s="1">
        <v>277</v>
      </c>
      <c r="G439" s="19">
        <v>549</v>
      </c>
      <c r="H439" s="13" t="s">
        <v>28</v>
      </c>
      <c r="I439" s="1">
        <v>5</v>
      </c>
      <c r="J439" s="6">
        <v>21.19</v>
      </c>
      <c r="K439" s="1">
        <v>1</v>
      </c>
      <c r="L439" s="29"/>
      <c r="O439" s="3"/>
    </row>
    <row r="440" spans="1:15" x14ac:dyDescent="0.3">
      <c r="A440" s="1" t="s">
        <v>433</v>
      </c>
      <c r="B440" s="1" t="s">
        <v>9</v>
      </c>
      <c r="C440" s="11">
        <v>44689</v>
      </c>
      <c r="D440" s="12">
        <f t="shared" si="6"/>
        <v>2</v>
      </c>
      <c r="E440" s="1">
        <v>263</v>
      </c>
      <c r="F440" s="1">
        <v>234</v>
      </c>
      <c r="G440" s="19">
        <v>345.5</v>
      </c>
      <c r="H440" s="13" t="s">
        <v>28</v>
      </c>
      <c r="I440" s="1">
        <v>3</v>
      </c>
      <c r="J440" s="6">
        <v>20.2</v>
      </c>
      <c r="K440" s="1">
        <v>0</v>
      </c>
      <c r="L440" s="29"/>
      <c r="O440" s="3"/>
    </row>
    <row r="441" spans="1:15" x14ac:dyDescent="0.3">
      <c r="A441" s="1" t="s">
        <v>434</v>
      </c>
      <c r="B441" s="1" t="s">
        <v>9</v>
      </c>
      <c r="C441" s="11">
        <v>44689</v>
      </c>
      <c r="D441" s="12">
        <f t="shared" si="6"/>
        <v>2</v>
      </c>
      <c r="E441" s="1">
        <v>296</v>
      </c>
      <c r="F441" s="1">
        <v>257</v>
      </c>
      <c r="G441" s="19">
        <v>523.29999999999995</v>
      </c>
      <c r="H441" s="13" t="s">
        <v>28</v>
      </c>
      <c r="I441" s="1">
        <v>3</v>
      </c>
      <c r="J441" s="6">
        <v>29.62</v>
      </c>
      <c r="K441" s="1">
        <v>2</v>
      </c>
      <c r="L441" s="29"/>
      <c r="O441" s="3"/>
    </row>
    <row r="442" spans="1:15" x14ac:dyDescent="0.3">
      <c r="A442" s="1" t="s">
        <v>435</v>
      </c>
      <c r="B442" s="1" t="s">
        <v>9</v>
      </c>
      <c r="C442" s="11">
        <v>44781</v>
      </c>
      <c r="D442" s="12">
        <f t="shared" si="6"/>
        <v>3</v>
      </c>
      <c r="E442" s="1">
        <v>330</v>
      </c>
      <c r="F442" s="1">
        <v>298</v>
      </c>
      <c r="G442" s="19">
        <v>593.21</v>
      </c>
      <c r="H442" s="13" t="s">
        <v>28</v>
      </c>
      <c r="I442" s="1">
        <v>4</v>
      </c>
      <c r="J442" s="6">
        <v>8.43</v>
      </c>
      <c r="K442" s="1">
        <v>2</v>
      </c>
      <c r="L442" s="29"/>
      <c r="O442" s="3"/>
    </row>
    <row r="443" spans="1:15" x14ac:dyDescent="0.3">
      <c r="A443" s="1" t="s">
        <v>436</v>
      </c>
      <c r="B443" s="1" t="s">
        <v>9</v>
      </c>
      <c r="C443" s="11">
        <v>44714</v>
      </c>
      <c r="D443" s="12">
        <f t="shared" si="6"/>
        <v>2</v>
      </c>
      <c r="E443" s="1">
        <v>247</v>
      </c>
      <c r="F443" s="1">
        <v>224</v>
      </c>
      <c r="G443" s="19">
        <v>250.05</v>
      </c>
      <c r="H443" s="13" t="s">
        <v>28</v>
      </c>
      <c r="I443" s="1">
        <v>3</v>
      </c>
      <c r="J443" s="6">
        <v>5.2</v>
      </c>
      <c r="K443" s="1">
        <v>1</v>
      </c>
      <c r="L443" s="29"/>
      <c r="O443" s="3"/>
    </row>
    <row r="444" spans="1:15" x14ac:dyDescent="0.3">
      <c r="A444" s="1" t="s">
        <v>437</v>
      </c>
      <c r="B444" s="1" t="s">
        <v>9</v>
      </c>
      <c r="C444" s="11">
        <v>44714</v>
      </c>
      <c r="D444" s="12">
        <f t="shared" si="6"/>
        <v>2</v>
      </c>
      <c r="E444" s="1">
        <v>239</v>
      </c>
      <c r="F444" s="1">
        <v>228</v>
      </c>
      <c r="G444" s="19">
        <v>270.32</v>
      </c>
      <c r="H444" s="13" t="s">
        <v>10</v>
      </c>
      <c r="I444" s="1">
        <v>4</v>
      </c>
      <c r="J444" s="6">
        <v>17.809999999999999</v>
      </c>
      <c r="K444" s="1">
        <v>2</v>
      </c>
      <c r="L444" s="29"/>
      <c r="O444" s="3"/>
    </row>
    <row r="445" spans="1:15" x14ac:dyDescent="0.3">
      <c r="A445" s="1" t="s">
        <v>438</v>
      </c>
      <c r="B445" s="1" t="s">
        <v>9</v>
      </c>
      <c r="C445" s="11">
        <v>44714</v>
      </c>
      <c r="D445" s="12">
        <f t="shared" si="6"/>
        <v>2</v>
      </c>
      <c r="E445" s="1">
        <v>229</v>
      </c>
      <c r="F445" s="1">
        <v>206</v>
      </c>
      <c r="G445" s="19">
        <v>242.64</v>
      </c>
      <c r="H445" s="13" t="s">
        <v>28</v>
      </c>
      <c r="I445" s="1">
        <v>4</v>
      </c>
      <c r="J445" s="6">
        <v>13.28</v>
      </c>
      <c r="K445" s="1">
        <v>2</v>
      </c>
      <c r="L445" s="29"/>
      <c r="O445" s="3"/>
    </row>
    <row r="446" spans="1:15" x14ac:dyDescent="0.3">
      <c r="A446" s="1" t="s">
        <v>439</v>
      </c>
      <c r="B446" s="1" t="s">
        <v>9</v>
      </c>
      <c r="C446" s="11">
        <v>44689</v>
      </c>
      <c r="D446" s="12">
        <f t="shared" si="6"/>
        <v>2</v>
      </c>
      <c r="E446" s="1">
        <v>235</v>
      </c>
      <c r="F446" s="1">
        <v>214</v>
      </c>
      <c r="G446" s="19">
        <v>271.8</v>
      </c>
      <c r="H446" s="13" t="s">
        <v>10</v>
      </c>
      <c r="I446" s="1">
        <v>3</v>
      </c>
      <c r="J446" s="6">
        <v>14.65</v>
      </c>
      <c r="K446" s="1">
        <v>2</v>
      </c>
      <c r="L446" s="29"/>
      <c r="O446" s="3"/>
    </row>
    <row r="447" spans="1:15" x14ac:dyDescent="0.3">
      <c r="A447" s="1" t="s">
        <v>440</v>
      </c>
      <c r="B447" s="1" t="s">
        <v>9</v>
      </c>
      <c r="C447" s="11">
        <v>44689</v>
      </c>
      <c r="D447" s="12">
        <f t="shared" si="6"/>
        <v>2</v>
      </c>
      <c r="E447" s="1">
        <v>243</v>
      </c>
      <c r="F447" s="1">
        <v>220</v>
      </c>
      <c r="G447" s="19">
        <v>297.5</v>
      </c>
      <c r="H447" s="13" t="s">
        <v>28</v>
      </c>
      <c r="I447" s="1">
        <v>5</v>
      </c>
      <c r="J447" s="6">
        <v>23.55</v>
      </c>
      <c r="K447" s="1">
        <v>1</v>
      </c>
      <c r="L447" s="29"/>
      <c r="O447" s="3"/>
    </row>
    <row r="448" spans="1:15" x14ac:dyDescent="0.3">
      <c r="A448" s="1" t="s">
        <v>441</v>
      </c>
      <c r="B448" s="1" t="s">
        <v>9</v>
      </c>
      <c r="C448" s="11">
        <v>44714</v>
      </c>
      <c r="D448" s="12">
        <f t="shared" si="6"/>
        <v>2</v>
      </c>
      <c r="E448" s="1">
        <v>252</v>
      </c>
      <c r="F448" s="1">
        <v>230</v>
      </c>
      <c r="G448" s="19">
        <v>239</v>
      </c>
      <c r="H448" s="13" t="s">
        <v>10</v>
      </c>
      <c r="I448" s="1">
        <v>3</v>
      </c>
      <c r="J448" s="6">
        <v>17.579999999999998</v>
      </c>
      <c r="K448" s="1">
        <v>1</v>
      </c>
      <c r="L448" s="29"/>
      <c r="O448" s="3"/>
    </row>
    <row r="449" spans="1:15" x14ac:dyDescent="0.3">
      <c r="A449" s="1" t="s">
        <v>442</v>
      </c>
      <c r="B449" s="1" t="s">
        <v>9</v>
      </c>
      <c r="C449" s="11">
        <v>44689</v>
      </c>
      <c r="D449" s="12">
        <f t="shared" si="6"/>
        <v>2</v>
      </c>
      <c r="E449" s="1">
        <v>251</v>
      </c>
      <c r="F449" s="1">
        <v>230</v>
      </c>
      <c r="G449" s="19">
        <v>340.85</v>
      </c>
      <c r="H449" s="13" t="s">
        <v>10</v>
      </c>
      <c r="I449" s="1">
        <v>4</v>
      </c>
      <c r="J449" s="6">
        <v>33.85</v>
      </c>
      <c r="K449" s="1">
        <v>1</v>
      </c>
      <c r="L449" s="29"/>
      <c r="O449" s="3"/>
    </row>
    <row r="450" spans="1:15" x14ac:dyDescent="0.3">
      <c r="A450" s="1" t="s">
        <v>443</v>
      </c>
      <c r="B450" s="1" t="s">
        <v>9</v>
      </c>
      <c r="C450" s="11">
        <v>44689</v>
      </c>
      <c r="D450" s="12">
        <f t="shared" ref="D450:D513" si="7">ROUNDUP(MONTH(C450)/3,0)</f>
        <v>2</v>
      </c>
      <c r="E450" s="1">
        <v>243</v>
      </c>
      <c r="F450" s="1">
        <v>220</v>
      </c>
      <c r="G450" s="19">
        <v>296</v>
      </c>
      <c r="H450" s="13" t="s">
        <v>28</v>
      </c>
      <c r="I450" s="1">
        <v>4</v>
      </c>
      <c r="J450" s="6">
        <v>17.87</v>
      </c>
      <c r="K450" s="1">
        <v>2</v>
      </c>
      <c r="L450" s="29"/>
      <c r="O450" s="3"/>
    </row>
    <row r="451" spans="1:15" x14ac:dyDescent="0.3">
      <c r="A451" s="1" t="s">
        <v>444</v>
      </c>
      <c r="B451" s="1" t="s">
        <v>9</v>
      </c>
      <c r="C451" s="11">
        <v>44714</v>
      </c>
      <c r="D451" s="12">
        <f t="shared" si="7"/>
        <v>2</v>
      </c>
      <c r="E451" s="1">
        <v>249</v>
      </c>
      <c r="F451" s="1">
        <v>228</v>
      </c>
      <c r="G451" s="19">
        <v>345.8</v>
      </c>
      <c r="H451" s="13" t="s">
        <v>28</v>
      </c>
      <c r="I451" s="1">
        <v>5</v>
      </c>
      <c r="J451" s="6">
        <v>34.25</v>
      </c>
      <c r="K451" s="1">
        <v>2</v>
      </c>
      <c r="L451" s="29"/>
      <c r="O451" s="3"/>
    </row>
    <row r="452" spans="1:15" x14ac:dyDescent="0.3">
      <c r="A452" s="1" t="s">
        <v>445</v>
      </c>
      <c r="B452" s="1" t="s">
        <v>9</v>
      </c>
      <c r="C452" s="11">
        <v>44714</v>
      </c>
      <c r="D452" s="12">
        <f t="shared" si="7"/>
        <v>2</v>
      </c>
      <c r="E452" s="1">
        <v>232</v>
      </c>
      <c r="F452" s="1">
        <v>204</v>
      </c>
      <c r="G452" s="19">
        <v>256.25</v>
      </c>
      <c r="H452" s="13" t="s">
        <v>10</v>
      </c>
      <c r="I452" s="1">
        <v>4</v>
      </c>
      <c r="J452" s="6">
        <v>12.7</v>
      </c>
      <c r="K452" s="1">
        <v>1</v>
      </c>
      <c r="L452" s="29"/>
      <c r="O452" s="3"/>
    </row>
    <row r="453" spans="1:15" x14ac:dyDescent="0.3">
      <c r="A453" s="1" t="s">
        <v>446</v>
      </c>
      <c r="B453" s="1" t="s">
        <v>9</v>
      </c>
      <c r="C453" s="11">
        <v>44714</v>
      </c>
      <c r="D453" s="12">
        <f t="shared" si="7"/>
        <v>2</v>
      </c>
      <c r="E453" s="1">
        <v>251</v>
      </c>
      <c r="F453" s="1">
        <v>226</v>
      </c>
      <c r="G453" s="19">
        <v>296</v>
      </c>
      <c r="H453" s="13" t="s">
        <v>28</v>
      </c>
      <c r="I453" s="1">
        <v>4</v>
      </c>
      <c r="J453" s="6">
        <v>15.7</v>
      </c>
      <c r="K453" s="1">
        <v>0</v>
      </c>
      <c r="L453" s="29"/>
      <c r="O453" s="3"/>
    </row>
    <row r="454" spans="1:15" x14ac:dyDescent="0.3">
      <c r="A454" s="1" t="s">
        <v>447</v>
      </c>
      <c r="B454" s="1" t="s">
        <v>9</v>
      </c>
      <c r="C454" s="11">
        <v>44778</v>
      </c>
      <c r="D454" s="12">
        <f t="shared" si="7"/>
        <v>3</v>
      </c>
      <c r="E454" s="1">
        <v>264</v>
      </c>
      <c r="F454" s="1">
        <v>216</v>
      </c>
      <c r="G454" s="19">
        <v>383.9</v>
      </c>
      <c r="H454" s="13" t="s">
        <v>10</v>
      </c>
      <c r="I454" s="1">
        <v>2</v>
      </c>
      <c r="J454" s="6">
        <v>23.7</v>
      </c>
      <c r="K454" s="1">
        <v>2</v>
      </c>
      <c r="L454" s="29"/>
      <c r="O454" s="3"/>
    </row>
    <row r="455" spans="1:15" x14ac:dyDescent="0.3">
      <c r="A455" s="1" t="s">
        <v>447</v>
      </c>
      <c r="B455" s="1" t="s">
        <v>9</v>
      </c>
      <c r="C455" s="11">
        <v>44689</v>
      </c>
      <c r="D455" s="12">
        <f t="shared" si="7"/>
        <v>2</v>
      </c>
      <c r="E455" s="1">
        <v>264</v>
      </c>
      <c r="F455" s="1">
        <v>216</v>
      </c>
      <c r="G455" s="19">
        <v>383</v>
      </c>
      <c r="H455" s="13" t="s">
        <v>10</v>
      </c>
      <c r="I455" s="1">
        <v>2</v>
      </c>
      <c r="J455" s="6">
        <v>23.7</v>
      </c>
      <c r="K455" s="1">
        <v>2</v>
      </c>
      <c r="L455" s="29"/>
      <c r="O455" s="3"/>
    </row>
    <row r="456" spans="1:15" x14ac:dyDescent="0.3">
      <c r="A456" s="1" t="s">
        <v>448</v>
      </c>
      <c r="B456" s="1" t="s">
        <v>9</v>
      </c>
      <c r="C456" s="11">
        <v>44689</v>
      </c>
      <c r="D456" s="12">
        <f t="shared" si="7"/>
        <v>2</v>
      </c>
      <c r="E456" s="1">
        <v>269</v>
      </c>
      <c r="F456" s="1">
        <v>244</v>
      </c>
      <c r="G456" s="19">
        <v>282.5</v>
      </c>
      <c r="H456" s="13" t="s">
        <v>10</v>
      </c>
      <c r="I456" s="1">
        <v>1</v>
      </c>
      <c r="J456" s="6">
        <v>8.34</v>
      </c>
      <c r="K456" s="1">
        <v>1</v>
      </c>
      <c r="L456" s="29"/>
      <c r="O456" s="3"/>
    </row>
    <row r="457" spans="1:15" x14ac:dyDescent="0.3">
      <c r="A457" s="1" t="s">
        <v>449</v>
      </c>
      <c r="B457" s="1" t="s">
        <v>9</v>
      </c>
      <c r="C457" s="11">
        <v>44689</v>
      </c>
      <c r="D457" s="12">
        <f t="shared" si="7"/>
        <v>2</v>
      </c>
      <c r="E457" s="1">
        <v>255</v>
      </c>
      <c r="F457" s="1">
        <v>232</v>
      </c>
      <c r="G457" s="19">
        <v>341.97</v>
      </c>
      <c r="H457" s="13" t="s">
        <v>28</v>
      </c>
      <c r="I457" s="1">
        <v>3</v>
      </c>
      <c r="J457" s="6">
        <v>29.37</v>
      </c>
      <c r="K457" s="1">
        <v>1</v>
      </c>
      <c r="L457" s="29"/>
      <c r="O457" s="3"/>
    </row>
    <row r="458" spans="1:15" x14ac:dyDescent="0.3">
      <c r="A458" s="1" t="s">
        <v>450</v>
      </c>
      <c r="B458" s="1" t="s">
        <v>9</v>
      </c>
      <c r="C458" s="11">
        <v>44689</v>
      </c>
      <c r="D458" s="12">
        <f t="shared" si="7"/>
        <v>2</v>
      </c>
      <c r="E458" s="1">
        <v>262</v>
      </c>
      <c r="F458" s="1">
        <v>238</v>
      </c>
      <c r="G458" s="19">
        <v>363.7</v>
      </c>
      <c r="H458" s="13" t="s">
        <v>10</v>
      </c>
      <c r="I458" s="1">
        <v>3</v>
      </c>
      <c r="J458" s="6">
        <v>6.73</v>
      </c>
      <c r="K458" s="1">
        <v>0</v>
      </c>
      <c r="L458" s="29"/>
      <c r="O458" s="3"/>
    </row>
    <row r="459" spans="1:15" x14ac:dyDescent="0.3">
      <c r="A459" s="1" t="s">
        <v>451</v>
      </c>
      <c r="B459" s="1" t="s">
        <v>9</v>
      </c>
      <c r="C459" s="11">
        <v>44714</v>
      </c>
      <c r="D459" s="12">
        <f t="shared" si="7"/>
        <v>2</v>
      </c>
      <c r="E459" s="1">
        <v>251</v>
      </c>
      <c r="F459" s="1">
        <v>230</v>
      </c>
      <c r="G459" s="19">
        <v>330.93</v>
      </c>
      <c r="H459" s="13" t="s">
        <v>10</v>
      </c>
      <c r="I459" s="1">
        <v>5</v>
      </c>
      <c r="J459" s="6">
        <v>16.399999999999999</v>
      </c>
      <c r="K459" s="1">
        <v>2</v>
      </c>
      <c r="L459" s="29"/>
      <c r="O459" s="3"/>
    </row>
    <row r="460" spans="1:15" x14ac:dyDescent="0.3">
      <c r="A460" s="1" t="s">
        <v>452</v>
      </c>
      <c r="B460" s="1" t="s">
        <v>9</v>
      </c>
      <c r="C460" s="11">
        <v>45063</v>
      </c>
      <c r="D460" s="12">
        <f t="shared" si="7"/>
        <v>2</v>
      </c>
      <c r="E460" s="1">
        <v>239</v>
      </c>
      <c r="F460" s="1">
        <v>215</v>
      </c>
      <c r="G460" s="19">
        <v>255.4</v>
      </c>
      <c r="H460" s="13" t="s">
        <v>28</v>
      </c>
      <c r="I460" s="1">
        <v>5</v>
      </c>
      <c r="J460" s="6">
        <v>10.8</v>
      </c>
      <c r="K460" s="1">
        <v>0</v>
      </c>
      <c r="L460" s="29"/>
      <c r="O460" s="3"/>
    </row>
    <row r="461" spans="1:15" x14ac:dyDescent="0.3">
      <c r="A461" s="1" t="s">
        <v>453</v>
      </c>
      <c r="B461" s="1" t="s">
        <v>9</v>
      </c>
      <c r="C461" s="11">
        <v>45063</v>
      </c>
      <c r="D461" s="12">
        <f t="shared" si="7"/>
        <v>2</v>
      </c>
      <c r="E461" s="1">
        <v>318</v>
      </c>
      <c r="F461" s="1">
        <v>293</v>
      </c>
      <c r="G461" s="19">
        <v>653.29999999999995</v>
      </c>
      <c r="H461" s="13" t="s">
        <v>10</v>
      </c>
      <c r="I461" s="1">
        <v>4</v>
      </c>
      <c r="J461" s="6">
        <v>64.5</v>
      </c>
      <c r="K461" s="1">
        <v>1</v>
      </c>
      <c r="L461" s="29"/>
      <c r="O461" s="3"/>
    </row>
    <row r="462" spans="1:15" x14ac:dyDescent="0.3">
      <c r="A462" s="1" t="s">
        <v>454</v>
      </c>
      <c r="B462" s="1" t="s">
        <v>9</v>
      </c>
      <c r="C462" s="11">
        <v>45063</v>
      </c>
      <c r="D462" s="12">
        <f t="shared" si="7"/>
        <v>2</v>
      </c>
      <c r="E462" s="1">
        <v>255</v>
      </c>
      <c r="F462" s="1">
        <v>232</v>
      </c>
      <c r="G462" s="19">
        <v>286.60000000000002</v>
      </c>
      <c r="H462" s="13" t="s">
        <v>28</v>
      </c>
      <c r="I462" s="1">
        <v>3</v>
      </c>
      <c r="J462" s="6">
        <v>1.3</v>
      </c>
      <c r="K462" s="1">
        <v>1</v>
      </c>
      <c r="L462" s="29"/>
      <c r="O462" s="3"/>
    </row>
    <row r="463" spans="1:15" x14ac:dyDescent="0.3">
      <c r="A463" s="1" t="s">
        <v>455</v>
      </c>
      <c r="B463" s="1" t="s">
        <v>9</v>
      </c>
      <c r="C463" s="11">
        <v>45063</v>
      </c>
      <c r="D463" s="12">
        <f t="shared" si="7"/>
        <v>2</v>
      </c>
      <c r="E463" s="1">
        <v>242</v>
      </c>
      <c r="F463" s="1">
        <v>220</v>
      </c>
      <c r="G463" s="19">
        <v>266.5</v>
      </c>
      <c r="H463" s="13" t="s">
        <v>10</v>
      </c>
      <c r="I463" s="1">
        <v>4</v>
      </c>
      <c r="J463" s="6">
        <v>12.6</v>
      </c>
      <c r="K463" s="1">
        <v>0</v>
      </c>
      <c r="L463" s="29"/>
      <c r="O463" s="3"/>
    </row>
    <row r="464" spans="1:15" x14ac:dyDescent="0.3">
      <c r="A464" s="1" t="s">
        <v>456</v>
      </c>
      <c r="B464" s="1" t="s">
        <v>9</v>
      </c>
      <c r="C464" s="11">
        <v>45063</v>
      </c>
      <c r="D464" s="12">
        <f t="shared" si="7"/>
        <v>2</v>
      </c>
      <c r="E464" s="1">
        <v>234</v>
      </c>
      <c r="F464" s="1">
        <v>211</v>
      </c>
      <c r="G464" s="19">
        <v>224</v>
      </c>
      <c r="H464" s="13" t="s">
        <v>28</v>
      </c>
      <c r="I464" s="1">
        <v>4</v>
      </c>
      <c r="J464" s="6">
        <v>5.7</v>
      </c>
      <c r="K464" s="1">
        <v>1</v>
      </c>
      <c r="L464" s="29"/>
      <c r="O464" s="3"/>
    </row>
    <row r="465" spans="1:15" x14ac:dyDescent="0.3">
      <c r="A465" s="1" t="s">
        <v>457</v>
      </c>
      <c r="B465" s="1" t="s">
        <v>9</v>
      </c>
      <c r="C465" s="11">
        <v>45150</v>
      </c>
      <c r="D465" s="12">
        <f t="shared" si="7"/>
        <v>3</v>
      </c>
      <c r="E465" s="1">
        <v>272</v>
      </c>
      <c r="F465" s="1">
        <v>248</v>
      </c>
      <c r="G465" s="19">
        <v>342</v>
      </c>
      <c r="H465" s="13" t="s">
        <v>10</v>
      </c>
      <c r="I465" s="1">
        <v>4</v>
      </c>
      <c r="J465" s="6">
        <v>9.6999999999999993</v>
      </c>
      <c r="K465" s="1">
        <v>1</v>
      </c>
      <c r="L465" s="29"/>
      <c r="O465" s="3"/>
    </row>
    <row r="466" spans="1:15" x14ac:dyDescent="0.3">
      <c r="A466" s="1" t="s">
        <v>458</v>
      </c>
      <c r="B466" s="1" t="s">
        <v>9</v>
      </c>
      <c r="C466" s="11">
        <v>45144</v>
      </c>
      <c r="D466" s="12">
        <f t="shared" si="7"/>
        <v>3</v>
      </c>
      <c r="E466" s="1">
        <v>307</v>
      </c>
      <c r="F466" s="1">
        <v>275</v>
      </c>
      <c r="G466" s="19">
        <v>432</v>
      </c>
      <c r="H466" s="13" t="s">
        <v>28</v>
      </c>
      <c r="I466" s="1">
        <v>3</v>
      </c>
      <c r="J466" s="6">
        <v>12.9</v>
      </c>
      <c r="K466" s="1">
        <v>0</v>
      </c>
      <c r="L466" s="29"/>
      <c r="O466" s="3"/>
    </row>
    <row r="467" spans="1:15" x14ac:dyDescent="0.3">
      <c r="A467" s="1" t="s">
        <v>459</v>
      </c>
      <c r="B467" s="1" t="s">
        <v>9</v>
      </c>
      <c r="C467" s="11">
        <v>45144</v>
      </c>
      <c r="D467" s="12">
        <f t="shared" si="7"/>
        <v>3</v>
      </c>
      <c r="E467" s="1">
        <v>295</v>
      </c>
      <c r="F467" s="1">
        <v>267</v>
      </c>
      <c r="G467" s="19">
        <v>439.3</v>
      </c>
      <c r="H467" s="13" t="s">
        <v>10</v>
      </c>
      <c r="I467" s="1">
        <v>4</v>
      </c>
      <c r="J467" s="6">
        <v>14</v>
      </c>
      <c r="K467" s="1">
        <v>1</v>
      </c>
      <c r="L467" s="29"/>
      <c r="O467" s="3"/>
    </row>
    <row r="468" spans="1:15" x14ac:dyDescent="0.3">
      <c r="A468" s="1" t="s">
        <v>460</v>
      </c>
      <c r="B468" s="1" t="s">
        <v>9</v>
      </c>
      <c r="C468" s="11">
        <v>45150</v>
      </c>
      <c r="D468" s="12">
        <f t="shared" si="7"/>
        <v>3</v>
      </c>
      <c r="E468" s="1">
        <v>281</v>
      </c>
      <c r="F468" s="1">
        <v>263</v>
      </c>
      <c r="G468" s="19">
        <v>413.3</v>
      </c>
      <c r="H468" s="13" t="s">
        <v>10</v>
      </c>
      <c r="I468" s="1">
        <v>3</v>
      </c>
      <c r="J468" s="6">
        <v>13.7</v>
      </c>
      <c r="K468" s="1">
        <v>1</v>
      </c>
      <c r="L468" s="29"/>
      <c r="O468" s="3"/>
    </row>
    <row r="469" spans="1:15" x14ac:dyDescent="0.3">
      <c r="A469" s="1" t="s">
        <v>461</v>
      </c>
      <c r="B469" s="1" t="s">
        <v>9</v>
      </c>
      <c r="C469" s="11">
        <v>45150</v>
      </c>
      <c r="D469" s="12">
        <f t="shared" si="7"/>
        <v>3</v>
      </c>
      <c r="E469" s="1">
        <v>251</v>
      </c>
      <c r="F469" s="1">
        <v>228</v>
      </c>
      <c r="G469" s="19">
        <v>292.10000000000002</v>
      </c>
      <c r="H469" s="13" t="s">
        <v>10</v>
      </c>
      <c r="I469" s="1">
        <v>3</v>
      </c>
      <c r="J469" s="6">
        <v>5.6</v>
      </c>
      <c r="K469" s="1">
        <v>2</v>
      </c>
      <c r="L469" s="29"/>
      <c r="O469" s="3"/>
    </row>
    <row r="470" spans="1:15" x14ac:dyDescent="0.3">
      <c r="A470" s="1" t="s">
        <v>462</v>
      </c>
      <c r="B470" s="1" t="s">
        <v>9</v>
      </c>
      <c r="C470" s="11">
        <v>45150</v>
      </c>
      <c r="D470" s="12">
        <f t="shared" si="7"/>
        <v>3</v>
      </c>
      <c r="E470" s="1">
        <v>262</v>
      </c>
      <c r="F470" s="1">
        <v>242</v>
      </c>
      <c r="G470" s="19">
        <v>355.8</v>
      </c>
      <c r="H470" s="13" t="s">
        <v>28</v>
      </c>
      <c r="I470" s="1">
        <v>3</v>
      </c>
      <c r="J470" s="6">
        <v>5.6</v>
      </c>
      <c r="K470" s="1">
        <v>1</v>
      </c>
      <c r="L470" s="29"/>
      <c r="O470" s="3"/>
    </row>
    <row r="471" spans="1:15" x14ac:dyDescent="0.3">
      <c r="A471" s="1" t="s">
        <v>463</v>
      </c>
      <c r="B471" s="1" t="s">
        <v>9</v>
      </c>
      <c r="C471" s="11">
        <v>45150</v>
      </c>
      <c r="D471" s="12">
        <f t="shared" si="7"/>
        <v>3</v>
      </c>
      <c r="E471" s="1">
        <v>270</v>
      </c>
      <c r="F471" s="1">
        <v>243</v>
      </c>
      <c r="G471" s="19">
        <v>326.5</v>
      </c>
      <c r="H471" s="13" t="s">
        <v>28</v>
      </c>
      <c r="I471" s="1">
        <v>4</v>
      </c>
      <c r="J471" s="6">
        <v>11.7</v>
      </c>
      <c r="K471" s="1">
        <v>0</v>
      </c>
      <c r="L471" s="29"/>
      <c r="O471" s="3"/>
    </row>
    <row r="472" spans="1:15" x14ac:dyDescent="0.3">
      <c r="A472" s="1" t="s">
        <v>464</v>
      </c>
      <c r="B472" s="1" t="s">
        <v>9</v>
      </c>
      <c r="C472" s="11">
        <v>45009</v>
      </c>
      <c r="D472" s="12">
        <f t="shared" si="7"/>
        <v>1</v>
      </c>
      <c r="E472" s="1">
        <v>285</v>
      </c>
      <c r="F472" s="1">
        <v>259</v>
      </c>
      <c r="G472" s="19">
        <v>410.6</v>
      </c>
      <c r="H472" s="13" t="s">
        <v>10</v>
      </c>
      <c r="I472" s="1">
        <v>3</v>
      </c>
      <c r="J472" s="6">
        <v>8.85</v>
      </c>
      <c r="K472" s="1">
        <v>1</v>
      </c>
      <c r="L472" s="29"/>
      <c r="O472" s="3"/>
    </row>
    <row r="473" spans="1:15" x14ac:dyDescent="0.3">
      <c r="A473" s="1" t="s">
        <v>465</v>
      </c>
      <c r="B473" s="1" t="s">
        <v>9</v>
      </c>
      <c r="C473" s="11">
        <v>45009</v>
      </c>
      <c r="D473" s="12">
        <f t="shared" si="7"/>
        <v>1</v>
      </c>
      <c r="E473" s="1">
        <v>262</v>
      </c>
      <c r="F473" s="1">
        <v>237</v>
      </c>
      <c r="G473" s="19">
        <v>346.8</v>
      </c>
      <c r="H473" s="13" t="s">
        <v>10</v>
      </c>
      <c r="I473" s="1">
        <v>4</v>
      </c>
      <c r="J473" s="6">
        <v>9.1999999999999993</v>
      </c>
      <c r="K473" s="1">
        <v>2</v>
      </c>
      <c r="L473" s="29"/>
      <c r="O473" s="3"/>
    </row>
    <row r="474" spans="1:15" x14ac:dyDescent="0.3">
      <c r="A474" s="1" t="s">
        <v>466</v>
      </c>
      <c r="B474" s="1" t="s">
        <v>9</v>
      </c>
      <c r="C474" s="11">
        <v>45009</v>
      </c>
      <c r="D474" s="12">
        <f t="shared" si="7"/>
        <v>1</v>
      </c>
      <c r="E474" s="1">
        <v>270</v>
      </c>
      <c r="F474" s="1">
        <v>243</v>
      </c>
      <c r="G474" s="19">
        <v>352.3</v>
      </c>
      <c r="H474" s="13" t="s">
        <v>28</v>
      </c>
      <c r="I474" s="1">
        <v>3</v>
      </c>
      <c r="J474" s="6">
        <v>6.1</v>
      </c>
      <c r="K474" s="1">
        <v>1</v>
      </c>
      <c r="L474" s="29"/>
      <c r="O474" s="3"/>
    </row>
    <row r="475" spans="1:15" x14ac:dyDescent="0.3">
      <c r="A475" s="1" t="s">
        <v>467</v>
      </c>
      <c r="B475" s="1" t="s">
        <v>9</v>
      </c>
      <c r="C475" s="11">
        <v>45009</v>
      </c>
      <c r="D475" s="12">
        <f t="shared" si="7"/>
        <v>1</v>
      </c>
      <c r="E475" s="1">
        <v>276</v>
      </c>
      <c r="F475" s="1">
        <v>257</v>
      </c>
      <c r="G475" s="19">
        <v>388.4</v>
      </c>
      <c r="H475" s="13" t="s">
        <v>10</v>
      </c>
      <c r="I475" s="1">
        <v>3</v>
      </c>
      <c r="J475" s="6">
        <v>6.5</v>
      </c>
      <c r="K475" s="1">
        <v>1</v>
      </c>
      <c r="L475" s="29"/>
      <c r="O475" s="3"/>
    </row>
    <row r="476" spans="1:15" x14ac:dyDescent="0.3">
      <c r="A476" s="1" t="s">
        <v>468</v>
      </c>
      <c r="B476" s="1" t="s">
        <v>9</v>
      </c>
      <c r="C476" s="11">
        <v>45078</v>
      </c>
      <c r="D476" s="12">
        <f t="shared" si="7"/>
        <v>2</v>
      </c>
      <c r="E476" s="1">
        <v>326</v>
      </c>
      <c r="F476" s="1">
        <v>294</v>
      </c>
      <c r="G476" s="19">
        <v>617.5</v>
      </c>
      <c r="H476" s="13" t="s">
        <v>28</v>
      </c>
      <c r="I476" s="1">
        <v>4</v>
      </c>
      <c r="J476" s="6">
        <v>17.2</v>
      </c>
      <c r="K476" s="1">
        <v>1</v>
      </c>
      <c r="L476" s="29"/>
      <c r="O476" s="3"/>
    </row>
    <row r="477" spans="1:15" x14ac:dyDescent="0.3">
      <c r="A477" s="1" t="s">
        <v>469</v>
      </c>
      <c r="B477" s="1" t="s">
        <v>9</v>
      </c>
      <c r="C477" s="11">
        <v>45078</v>
      </c>
      <c r="D477" s="12">
        <f t="shared" si="7"/>
        <v>2</v>
      </c>
      <c r="E477" s="1">
        <v>245</v>
      </c>
      <c r="F477" s="1">
        <v>224</v>
      </c>
      <c r="G477" s="19">
        <v>264.3</v>
      </c>
      <c r="H477" s="13" t="s">
        <v>10</v>
      </c>
      <c r="I477" s="1">
        <v>2</v>
      </c>
      <c r="J477" s="6">
        <v>2.8</v>
      </c>
      <c r="K477" s="1">
        <v>1</v>
      </c>
      <c r="L477" s="29"/>
      <c r="O477" s="3"/>
    </row>
    <row r="478" spans="1:15" x14ac:dyDescent="0.3">
      <c r="A478" s="1" t="s">
        <v>470</v>
      </c>
      <c r="B478" s="1" t="s">
        <v>9</v>
      </c>
      <c r="C478" s="11">
        <v>45078</v>
      </c>
      <c r="D478" s="12">
        <f t="shared" si="7"/>
        <v>2</v>
      </c>
      <c r="E478" s="1">
        <v>291</v>
      </c>
      <c r="F478" s="1">
        <v>266</v>
      </c>
      <c r="G478" s="19">
        <v>420.5</v>
      </c>
      <c r="H478" s="13" t="s">
        <v>10</v>
      </c>
      <c r="I478" s="1">
        <v>5</v>
      </c>
      <c r="J478" s="6">
        <v>26</v>
      </c>
      <c r="K478" s="1">
        <v>1</v>
      </c>
      <c r="L478" s="29"/>
      <c r="O478" s="3"/>
    </row>
    <row r="479" spans="1:15" x14ac:dyDescent="0.3">
      <c r="A479" s="1" t="s">
        <v>471</v>
      </c>
      <c r="B479" s="1" t="s">
        <v>9</v>
      </c>
      <c r="C479" s="11">
        <v>45078</v>
      </c>
      <c r="D479" s="12">
        <f t="shared" si="7"/>
        <v>2</v>
      </c>
      <c r="E479" s="1">
        <v>258</v>
      </c>
      <c r="F479" s="1">
        <v>232</v>
      </c>
      <c r="G479" s="19">
        <v>314</v>
      </c>
      <c r="H479" s="13" t="s">
        <v>10</v>
      </c>
      <c r="I479" s="1">
        <v>2</v>
      </c>
      <c r="J479" s="6">
        <v>4</v>
      </c>
      <c r="K479" s="1">
        <v>0</v>
      </c>
      <c r="L479" s="29"/>
      <c r="O479" s="3"/>
    </row>
    <row r="480" spans="1:15" x14ac:dyDescent="0.3">
      <c r="A480" s="1" t="s">
        <v>472</v>
      </c>
      <c r="B480" s="1" t="s">
        <v>9</v>
      </c>
      <c r="C480" s="11">
        <v>45132</v>
      </c>
      <c r="D480" s="12">
        <f t="shared" si="7"/>
        <v>3</v>
      </c>
      <c r="E480" s="1">
        <v>313</v>
      </c>
      <c r="F480" s="1">
        <v>287</v>
      </c>
      <c r="G480" s="19">
        <v>525</v>
      </c>
      <c r="H480" s="13" t="s">
        <v>10</v>
      </c>
      <c r="I480" s="1">
        <v>4</v>
      </c>
      <c r="J480" s="6">
        <v>23.5</v>
      </c>
      <c r="K480" s="1">
        <v>2</v>
      </c>
      <c r="L480" s="29"/>
      <c r="O480" s="3"/>
    </row>
    <row r="481" spans="1:15" x14ac:dyDescent="0.3">
      <c r="A481" s="1" t="s">
        <v>473</v>
      </c>
      <c r="B481" s="1" t="s">
        <v>9</v>
      </c>
      <c r="C481" s="11">
        <v>45028</v>
      </c>
      <c r="D481" s="12">
        <f t="shared" si="7"/>
        <v>2</v>
      </c>
      <c r="E481" s="1">
        <v>278</v>
      </c>
      <c r="F481" s="1">
        <v>250</v>
      </c>
      <c r="G481" s="19">
        <v>379</v>
      </c>
      <c r="H481" s="13" t="s">
        <v>10</v>
      </c>
      <c r="I481" s="1">
        <v>4</v>
      </c>
      <c r="J481" s="6">
        <v>9.6</v>
      </c>
      <c r="K481" s="1">
        <v>0</v>
      </c>
      <c r="L481" s="29"/>
      <c r="O481" s="3"/>
    </row>
    <row r="482" spans="1:15" x14ac:dyDescent="0.3">
      <c r="A482" s="1" t="s">
        <v>474</v>
      </c>
      <c r="B482" s="1" t="s">
        <v>9</v>
      </c>
      <c r="C482" s="11">
        <v>45150</v>
      </c>
      <c r="D482" s="12">
        <f t="shared" si="7"/>
        <v>3</v>
      </c>
      <c r="E482" s="1">
        <v>273</v>
      </c>
      <c r="F482" s="1">
        <v>240</v>
      </c>
      <c r="G482" s="19">
        <v>365</v>
      </c>
      <c r="H482" s="13" t="s">
        <v>28</v>
      </c>
      <c r="I482" s="1">
        <v>2</v>
      </c>
      <c r="J482" s="6">
        <v>2.0499999999999998</v>
      </c>
      <c r="K482" s="1">
        <v>0</v>
      </c>
      <c r="L482" s="29"/>
      <c r="O482" s="3"/>
    </row>
    <row r="483" spans="1:15" x14ac:dyDescent="0.3">
      <c r="A483" s="1" t="s">
        <v>475</v>
      </c>
      <c r="B483" s="1" t="s">
        <v>9</v>
      </c>
      <c r="C483" s="11">
        <v>45083</v>
      </c>
      <c r="D483" s="12">
        <f t="shared" si="7"/>
        <v>2</v>
      </c>
      <c r="E483" s="1">
        <v>399</v>
      </c>
      <c r="F483" s="1">
        <v>361</v>
      </c>
      <c r="G483" s="19">
        <v>1064.7</v>
      </c>
      <c r="H483" s="13" t="s">
        <v>28</v>
      </c>
      <c r="I483" s="1">
        <v>4</v>
      </c>
      <c r="J483" s="6">
        <v>18.8</v>
      </c>
      <c r="K483" s="1">
        <v>0</v>
      </c>
      <c r="L483" s="29"/>
      <c r="O483" s="3"/>
    </row>
    <row r="484" spans="1:15" x14ac:dyDescent="0.3">
      <c r="A484" s="1" t="s">
        <v>476</v>
      </c>
      <c r="B484" s="1" t="s">
        <v>9</v>
      </c>
      <c r="C484" s="11">
        <v>45144</v>
      </c>
      <c r="D484" s="12">
        <f t="shared" si="7"/>
        <v>3</v>
      </c>
      <c r="E484" s="1">
        <v>260</v>
      </c>
      <c r="F484" s="1">
        <v>240</v>
      </c>
      <c r="G484" s="19">
        <v>334.1</v>
      </c>
      <c r="H484" s="13" t="s">
        <v>10</v>
      </c>
      <c r="I484" s="1">
        <v>1</v>
      </c>
      <c r="J484" s="6">
        <v>12.2</v>
      </c>
      <c r="K484" s="1">
        <v>0</v>
      </c>
      <c r="L484" s="29"/>
      <c r="O484" s="3"/>
    </row>
    <row r="485" spans="1:15" x14ac:dyDescent="0.3">
      <c r="A485" s="1" t="s">
        <v>477</v>
      </c>
      <c r="B485" s="1" t="s">
        <v>9</v>
      </c>
      <c r="C485" s="11">
        <v>45132</v>
      </c>
      <c r="D485" s="12">
        <f t="shared" si="7"/>
        <v>3</v>
      </c>
      <c r="E485" s="1">
        <v>365</v>
      </c>
      <c r="F485" s="1">
        <v>331</v>
      </c>
      <c r="G485" s="19">
        <v>819.6</v>
      </c>
      <c r="H485" s="13" t="s">
        <v>28</v>
      </c>
      <c r="I485" s="1">
        <v>3</v>
      </c>
      <c r="J485" s="6">
        <v>10.4</v>
      </c>
      <c r="K485" s="1">
        <v>0</v>
      </c>
      <c r="L485" s="29"/>
      <c r="O485" s="3"/>
    </row>
    <row r="486" spans="1:15" x14ac:dyDescent="0.3">
      <c r="A486" s="1" t="s">
        <v>478</v>
      </c>
      <c r="B486" s="1" t="s">
        <v>9</v>
      </c>
      <c r="C486" s="11">
        <v>45132</v>
      </c>
      <c r="D486" s="12">
        <f t="shared" si="7"/>
        <v>3</v>
      </c>
      <c r="E486" s="1">
        <v>273</v>
      </c>
      <c r="F486" s="1">
        <v>242</v>
      </c>
      <c r="G486" s="19">
        <v>339.7</v>
      </c>
      <c r="H486" s="13" t="s">
        <v>10</v>
      </c>
      <c r="I486" s="1">
        <v>3</v>
      </c>
      <c r="J486" s="6">
        <v>7.95</v>
      </c>
      <c r="K486" s="1">
        <v>1</v>
      </c>
      <c r="L486" s="29"/>
      <c r="O486" s="3"/>
    </row>
    <row r="487" spans="1:15" x14ac:dyDescent="0.3">
      <c r="A487" s="1" t="s">
        <v>479</v>
      </c>
      <c r="B487" s="1" t="s">
        <v>9</v>
      </c>
      <c r="C487" s="11">
        <v>45047</v>
      </c>
      <c r="D487" s="12">
        <f t="shared" si="7"/>
        <v>2</v>
      </c>
      <c r="E487" s="1">
        <v>275</v>
      </c>
      <c r="F487" s="1">
        <v>252</v>
      </c>
      <c r="G487" s="19">
        <v>389</v>
      </c>
      <c r="H487" s="13" t="s">
        <v>28</v>
      </c>
      <c r="I487" s="1">
        <v>3</v>
      </c>
      <c r="J487" s="6">
        <v>13.8</v>
      </c>
      <c r="K487" s="1">
        <v>1</v>
      </c>
      <c r="L487" s="29"/>
      <c r="O487" s="3"/>
    </row>
    <row r="488" spans="1:15" x14ac:dyDescent="0.3">
      <c r="A488" s="1" t="s">
        <v>480</v>
      </c>
      <c r="B488" s="1" t="s">
        <v>9</v>
      </c>
      <c r="C488" s="11">
        <v>45078</v>
      </c>
      <c r="D488" s="12">
        <f t="shared" si="7"/>
        <v>2</v>
      </c>
      <c r="E488" s="1">
        <v>265</v>
      </c>
      <c r="F488" s="1">
        <v>240</v>
      </c>
      <c r="G488" s="19">
        <v>346.6</v>
      </c>
      <c r="H488" s="13" t="s">
        <v>10</v>
      </c>
      <c r="I488" s="1">
        <v>3</v>
      </c>
      <c r="J488" s="6">
        <v>8.15</v>
      </c>
      <c r="K488" s="1">
        <v>1</v>
      </c>
      <c r="L488" s="29"/>
      <c r="O488" s="3"/>
    </row>
    <row r="489" spans="1:15" x14ac:dyDescent="0.3">
      <c r="A489" s="1" t="s">
        <v>481</v>
      </c>
      <c r="B489" s="1" t="s">
        <v>9</v>
      </c>
      <c r="C489" s="11">
        <v>45047</v>
      </c>
      <c r="D489" s="12">
        <f t="shared" si="7"/>
        <v>2</v>
      </c>
      <c r="E489" s="1">
        <v>338</v>
      </c>
      <c r="F489" s="1">
        <v>316</v>
      </c>
      <c r="G489" s="19">
        <v>831.4</v>
      </c>
      <c r="H489" s="13" t="s">
        <v>28</v>
      </c>
      <c r="I489" s="1">
        <v>5</v>
      </c>
      <c r="J489" s="6">
        <v>55.3</v>
      </c>
      <c r="K489" s="1">
        <v>2</v>
      </c>
      <c r="L489" s="29"/>
      <c r="O489" s="3"/>
    </row>
    <row r="490" spans="1:15" x14ac:dyDescent="0.3">
      <c r="A490" s="1" t="s">
        <v>482</v>
      </c>
      <c r="B490" s="1" t="s">
        <v>9</v>
      </c>
      <c r="C490" s="11">
        <v>45047</v>
      </c>
      <c r="D490" s="12">
        <f t="shared" si="7"/>
        <v>2</v>
      </c>
      <c r="E490" s="1">
        <v>372</v>
      </c>
      <c r="F490" s="1">
        <v>345</v>
      </c>
      <c r="G490" s="19">
        <v>1095.5</v>
      </c>
      <c r="H490" s="13" t="s">
        <v>10</v>
      </c>
      <c r="I490" s="1">
        <v>4</v>
      </c>
      <c r="J490" s="6">
        <v>86.7</v>
      </c>
      <c r="K490" s="1">
        <v>1</v>
      </c>
      <c r="L490" s="29"/>
      <c r="O490" s="3"/>
    </row>
    <row r="491" spans="1:15" x14ac:dyDescent="0.3">
      <c r="A491" s="1" t="s">
        <v>483</v>
      </c>
      <c r="B491" s="1" t="s">
        <v>9</v>
      </c>
      <c r="C491" s="11">
        <v>45063</v>
      </c>
      <c r="D491" s="12">
        <f t="shared" si="7"/>
        <v>2</v>
      </c>
      <c r="E491" s="1">
        <v>334</v>
      </c>
      <c r="F491" s="1">
        <v>301</v>
      </c>
      <c r="G491" s="19">
        <v>763.6</v>
      </c>
      <c r="H491" s="13" t="s">
        <v>10</v>
      </c>
      <c r="I491" s="1">
        <v>5</v>
      </c>
      <c r="J491" s="6">
        <v>55</v>
      </c>
      <c r="L491" s="29"/>
      <c r="O491" s="3"/>
    </row>
    <row r="492" spans="1:15" x14ac:dyDescent="0.3">
      <c r="A492" s="1" t="s">
        <v>484</v>
      </c>
      <c r="B492" s="1" t="s">
        <v>9</v>
      </c>
      <c r="C492" s="11">
        <v>45063</v>
      </c>
      <c r="D492" s="12">
        <f t="shared" si="7"/>
        <v>2</v>
      </c>
      <c r="E492" s="1">
        <v>286</v>
      </c>
      <c r="F492" s="1">
        <v>257</v>
      </c>
      <c r="G492" s="19">
        <v>494.6</v>
      </c>
      <c r="H492" s="13" t="s">
        <v>10</v>
      </c>
      <c r="I492" s="1">
        <v>4</v>
      </c>
      <c r="J492" s="6">
        <v>27.2</v>
      </c>
      <c r="K492" s="1">
        <v>0</v>
      </c>
      <c r="L492" s="29"/>
      <c r="O492" s="3"/>
    </row>
    <row r="493" spans="1:15" x14ac:dyDescent="0.3">
      <c r="A493" s="1" t="s">
        <v>485</v>
      </c>
      <c r="B493" s="1" t="s">
        <v>9</v>
      </c>
      <c r="C493" s="11">
        <v>45063</v>
      </c>
      <c r="D493" s="12">
        <f t="shared" si="7"/>
        <v>2</v>
      </c>
      <c r="E493" s="1">
        <v>225</v>
      </c>
      <c r="F493" s="1">
        <v>210</v>
      </c>
      <c r="G493" s="19">
        <v>210.6</v>
      </c>
      <c r="H493" s="13" t="s">
        <v>10</v>
      </c>
      <c r="I493" s="1">
        <v>2</v>
      </c>
      <c r="J493" s="6">
        <v>4.5</v>
      </c>
      <c r="K493" s="1">
        <v>1</v>
      </c>
      <c r="L493" s="29"/>
      <c r="O493" s="3"/>
    </row>
    <row r="494" spans="1:15" x14ac:dyDescent="0.3">
      <c r="A494" s="1" t="s">
        <v>486</v>
      </c>
      <c r="B494" s="1" t="s">
        <v>9</v>
      </c>
      <c r="C494" s="11">
        <v>45063</v>
      </c>
      <c r="D494" s="12">
        <f t="shared" si="7"/>
        <v>2</v>
      </c>
      <c r="E494" s="1">
        <v>275</v>
      </c>
      <c r="F494" s="1">
        <v>265</v>
      </c>
      <c r="G494" s="19">
        <v>474</v>
      </c>
      <c r="H494" s="13" t="s">
        <v>28</v>
      </c>
      <c r="I494" s="1">
        <v>4</v>
      </c>
      <c r="J494" s="6">
        <v>16.399999999999999</v>
      </c>
      <c r="K494" s="1">
        <v>2</v>
      </c>
      <c r="L494" s="29"/>
      <c r="O494" s="3"/>
    </row>
    <row r="495" spans="1:15" x14ac:dyDescent="0.3">
      <c r="A495" s="1" t="s">
        <v>487</v>
      </c>
      <c r="B495" s="1" t="s">
        <v>9</v>
      </c>
      <c r="C495" s="11">
        <v>45063</v>
      </c>
      <c r="D495" s="12">
        <f t="shared" si="7"/>
        <v>2</v>
      </c>
      <c r="E495" s="1">
        <v>259</v>
      </c>
      <c r="F495" s="1">
        <v>232</v>
      </c>
      <c r="G495" s="19">
        <v>294.89999999999998</v>
      </c>
      <c r="H495" s="13" t="s">
        <v>10</v>
      </c>
      <c r="I495" s="1">
        <v>3</v>
      </c>
      <c r="J495" s="6">
        <v>10.199999999999999</v>
      </c>
      <c r="K495" s="1">
        <v>1</v>
      </c>
      <c r="L495" s="29"/>
      <c r="O495" s="3"/>
    </row>
    <row r="496" spans="1:15" x14ac:dyDescent="0.3">
      <c r="A496" s="1" t="s">
        <v>488</v>
      </c>
      <c r="B496" s="1" t="s">
        <v>9</v>
      </c>
      <c r="C496" s="11">
        <v>45063</v>
      </c>
      <c r="D496" s="12">
        <f t="shared" si="7"/>
        <v>2</v>
      </c>
      <c r="E496" s="1">
        <v>261</v>
      </c>
      <c r="F496" s="1">
        <v>239</v>
      </c>
      <c r="G496" s="19">
        <v>291.60000000000002</v>
      </c>
      <c r="H496" s="13" t="s">
        <v>10</v>
      </c>
      <c r="I496" s="1">
        <v>3</v>
      </c>
      <c r="J496" s="6">
        <v>15.4</v>
      </c>
      <c r="K496" s="1">
        <v>1</v>
      </c>
      <c r="L496" s="29"/>
      <c r="O496" s="3"/>
    </row>
    <row r="497" spans="1:15" x14ac:dyDescent="0.3">
      <c r="A497" s="1" t="s">
        <v>489</v>
      </c>
      <c r="B497" s="1" t="s">
        <v>9</v>
      </c>
      <c r="C497" s="11">
        <v>45078</v>
      </c>
      <c r="D497" s="12">
        <f t="shared" si="7"/>
        <v>2</v>
      </c>
      <c r="E497" s="1">
        <v>283</v>
      </c>
      <c r="F497" s="1">
        <v>257</v>
      </c>
      <c r="G497" s="19">
        <v>400.7</v>
      </c>
      <c r="H497" s="13" t="s">
        <v>28</v>
      </c>
      <c r="I497" s="1">
        <v>3</v>
      </c>
      <c r="J497" s="6">
        <v>6.25</v>
      </c>
      <c r="K497" s="1">
        <v>1</v>
      </c>
      <c r="L497" s="29"/>
      <c r="O497" s="3"/>
    </row>
    <row r="498" spans="1:15" x14ac:dyDescent="0.3">
      <c r="A498" s="1" t="s">
        <v>490</v>
      </c>
      <c r="B498" s="1" t="s">
        <v>9</v>
      </c>
      <c r="C498" s="11">
        <v>45144</v>
      </c>
      <c r="D498" s="12">
        <f t="shared" si="7"/>
        <v>3</v>
      </c>
      <c r="E498" s="1">
        <v>302</v>
      </c>
      <c r="F498" s="1">
        <v>275</v>
      </c>
      <c r="G498" s="19">
        <v>531.9</v>
      </c>
      <c r="H498" s="13" t="s">
        <v>28</v>
      </c>
      <c r="I498" s="1">
        <v>4</v>
      </c>
      <c r="J498" s="6">
        <v>25.1</v>
      </c>
      <c r="K498" s="1">
        <v>1</v>
      </c>
      <c r="L498" s="29"/>
      <c r="O498" s="3"/>
    </row>
    <row r="499" spans="1:15" x14ac:dyDescent="0.3">
      <c r="A499" s="1" t="s">
        <v>491</v>
      </c>
      <c r="B499" s="1" t="s">
        <v>9</v>
      </c>
      <c r="C499" s="11">
        <v>45132</v>
      </c>
      <c r="D499" s="12">
        <f t="shared" si="7"/>
        <v>3</v>
      </c>
      <c r="E499" s="1">
        <v>335</v>
      </c>
      <c r="F499" s="1">
        <v>306</v>
      </c>
      <c r="G499" s="19">
        <v>665</v>
      </c>
      <c r="H499" s="13" t="s">
        <v>28</v>
      </c>
      <c r="I499" s="1">
        <v>4</v>
      </c>
      <c r="J499" s="6">
        <v>10.55</v>
      </c>
      <c r="K499" s="1">
        <v>1</v>
      </c>
      <c r="L499" s="29"/>
      <c r="O499" s="3"/>
    </row>
    <row r="500" spans="1:15" x14ac:dyDescent="0.3">
      <c r="A500" s="1" t="s">
        <v>492</v>
      </c>
      <c r="B500" s="1" t="s">
        <v>9</v>
      </c>
      <c r="C500" s="11">
        <v>45132</v>
      </c>
      <c r="D500" s="12">
        <f t="shared" si="7"/>
        <v>3</v>
      </c>
      <c r="E500" s="1">
        <v>353</v>
      </c>
      <c r="F500" s="1">
        <v>320</v>
      </c>
      <c r="G500" s="19">
        <v>797.1</v>
      </c>
      <c r="H500" s="13" t="s">
        <v>10</v>
      </c>
      <c r="I500" s="1">
        <v>4</v>
      </c>
      <c r="J500" s="6">
        <v>46.9</v>
      </c>
      <c r="K500" s="1">
        <v>0</v>
      </c>
      <c r="L500" s="29"/>
      <c r="O500" s="3"/>
    </row>
    <row r="501" spans="1:15" x14ac:dyDescent="0.3">
      <c r="A501" s="1" t="s">
        <v>493</v>
      </c>
      <c r="B501" s="1" t="s">
        <v>9</v>
      </c>
      <c r="C501" s="11">
        <v>45063</v>
      </c>
      <c r="D501" s="12">
        <f t="shared" si="7"/>
        <v>2</v>
      </c>
      <c r="E501" s="1">
        <v>302</v>
      </c>
      <c r="F501" s="1">
        <v>278</v>
      </c>
      <c r="G501" s="19">
        <v>568.1</v>
      </c>
      <c r="H501" s="13" t="s">
        <v>10</v>
      </c>
      <c r="I501" s="1">
        <v>4</v>
      </c>
      <c r="J501" s="6">
        <v>47.8</v>
      </c>
      <c r="K501" s="1">
        <v>1</v>
      </c>
      <c r="L501" s="29"/>
      <c r="O501" s="3"/>
    </row>
    <row r="502" spans="1:15" x14ac:dyDescent="0.3">
      <c r="A502" s="1" t="s">
        <v>494</v>
      </c>
      <c r="B502" s="1" t="s">
        <v>9</v>
      </c>
      <c r="C502" s="11">
        <v>45047</v>
      </c>
      <c r="D502" s="12">
        <f t="shared" si="7"/>
        <v>2</v>
      </c>
      <c r="E502" s="1">
        <v>410</v>
      </c>
      <c r="F502" s="1">
        <v>390</v>
      </c>
      <c r="G502" s="19">
        <v>1464.9</v>
      </c>
      <c r="H502" s="13" t="s">
        <v>10</v>
      </c>
      <c r="I502" s="1">
        <v>5</v>
      </c>
      <c r="J502" s="6">
        <v>88.9</v>
      </c>
      <c r="K502" s="1">
        <v>0</v>
      </c>
      <c r="L502" s="29"/>
      <c r="O502" s="3"/>
    </row>
    <row r="503" spans="1:15" x14ac:dyDescent="0.3">
      <c r="A503" s="1" t="s">
        <v>495</v>
      </c>
      <c r="B503" s="1" t="s">
        <v>9</v>
      </c>
      <c r="C503" s="11">
        <v>45047</v>
      </c>
      <c r="D503" s="12">
        <f t="shared" si="7"/>
        <v>2</v>
      </c>
      <c r="E503" s="1">
        <v>357</v>
      </c>
      <c r="F503" s="1">
        <v>323</v>
      </c>
      <c r="G503" s="19">
        <v>1001.8</v>
      </c>
      <c r="H503" s="13" t="s">
        <v>28</v>
      </c>
      <c r="I503" s="1">
        <v>4</v>
      </c>
      <c r="J503" s="6">
        <v>109.4</v>
      </c>
      <c r="K503" s="1">
        <v>1</v>
      </c>
      <c r="L503" s="29"/>
      <c r="O503" s="3"/>
    </row>
    <row r="504" spans="1:15" x14ac:dyDescent="0.3">
      <c r="A504" s="1" t="s">
        <v>496</v>
      </c>
      <c r="B504" s="1" t="s">
        <v>9</v>
      </c>
      <c r="C504" s="11">
        <v>45009</v>
      </c>
      <c r="D504" s="12">
        <f t="shared" si="7"/>
        <v>1</v>
      </c>
      <c r="E504" s="1">
        <v>266</v>
      </c>
      <c r="F504" s="1">
        <v>238</v>
      </c>
      <c r="G504" s="19">
        <v>374.9</v>
      </c>
      <c r="H504" s="13" t="s">
        <v>28</v>
      </c>
      <c r="I504" s="1">
        <v>2</v>
      </c>
      <c r="J504" s="6">
        <v>10.9</v>
      </c>
      <c r="K504" s="1">
        <v>1</v>
      </c>
      <c r="L504" s="29"/>
      <c r="O504" s="3"/>
    </row>
    <row r="505" spans="1:15" x14ac:dyDescent="0.3">
      <c r="A505" s="1" t="s">
        <v>497</v>
      </c>
      <c r="B505" s="1" t="s">
        <v>9</v>
      </c>
      <c r="C505" s="11">
        <v>44833</v>
      </c>
      <c r="D505" s="12">
        <f t="shared" si="7"/>
        <v>3</v>
      </c>
      <c r="E505" s="1">
        <v>252</v>
      </c>
      <c r="F505" s="1">
        <v>234</v>
      </c>
      <c r="G505" s="19">
        <v>320.3</v>
      </c>
      <c r="H505" s="13" t="s">
        <v>10</v>
      </c>
      <c r="I505" s="1">
        <v>2</v>
      </c>
      <c r="J505" s="6">
        <v>4.0999999999999996</v>
      </c>
      <c r="K505" s="1">
        <v>1</v>
      </c>
      <c r="L505" s="29"/>
      <c r="O505" s="3"/>
    </row>
    <row r="506" spans="1:15" x14ac:dyDescent="0.3">
      <c r="A506" s="1" t="s">
        <v>498</v>
      </c>
      <c r="B506" s="1" t="s">
        <v>9</v>
      </c>
      <c r="C506" s="11">
        <v>45009</v>
      </c>
      <c r="D506" s="12">
        <f t="shared" si="7"/>
        <v>1</v>
      </c>
      <c r="E506" s="1">
        <v>316</v>
      </c>
      <c r="F506" s="1">
        <v>287</v>
      </c>
      <c r="G506" s="19">
        <v>591.5</v>
      </c>
      <c r="H506" s="13" t="s">
        <v>10</v>
      </c>
      <c r="I506" s="1">
        <v>2</v>
      </c>
      <c r="J506" s="6">
        <v>10.15</v>
      </c>
      <c r="L506" s="29"/>
      <c r="O506" s="3"/>
    </row>
    <row r="507" spans="1:15" x14ac:dyDescent="0.3">
      <c r="A507" s="1" t="s">
        <v>499</v>
      </c>
      <c r="B507" s="1" t="s">
        <v>9</v>
      </c>
      <c r="C507" s="11">
        <v>45009</v>
      </c>
      <c r="D507" s="12">
        <f t="shared" si="7"/>
        <v>1</v>
      </c>
      <c r="E507" s="1">
        <v>284</v>
      </c>
      <c r="F507" s="1">
        <v>260</v>
      </c>
      <c r="G507" s="19">
        <v>460</v>
      </c>
      <c r="H507" s="13" t="s">
        <v>10</v>
      </c>
      <c r="I507" s="1">
        <v>4</v>
      </c>
      <c r="J507" s="6">
        <v>10.85</v>
      </c>
      <c r="K507" s="1">
        <v>1</v>
      </c>
      <c r="L507" s="29"/>
      <c r="O507" s="3"/>
    </row>
    <row r="508" spans="1:15" x14ac:dyDescent="0.3">
      <c r="A508" s="1" t="s">
        <v>500</v>
      </c>
      <c r="B508" s="1" t="s">
        <v>9</v>
      </c>
      <c r="C508" s="11">
        <v>45078</v>
      </c>
      <c r="D508" s="12">
        <f t="shared" si="7"/>
        <v>2</v>
      </c>
      <c r="E508" s="1">
        <v>230</v>
      </c>
      <c r="F508" s="1">
        <v>204</v>
      </c>
      <c r="G508" s="19">
        <v>223.4</v>
      </c>
      <c r="H508" s="13" t="s">
        <v>10</v>
      </c>
      <c r="I508" s="1">
        <v>2</v>
      </c>
      <c r="J508" s="6">
        <v>3.05</v>
      </c>
      <c r="K508" s="1">
        <v>2</v>
      </c>
      <c r="L508" s="29"/>
      <c r="O508" s="3"/>
    </row>
    <row r="509" spans="1:15" x14ac:dyDescent="0.3">
      <c r="A509" s="1" t="s">
        <v>503</v>
      </c>
      <c r="B509" s="1" t="s">
        <v>9</v>
      </c>
      <c r="C509" s="11">
        <v>45493</v>
      </c>
      <c r="D509" s="12">
        <f t="shared" si="7"/>
        <v>3</v>
      </c>
      <c r="E509" s="1">
        <v>271</v>
      </c>
      <c r="F509" s="1">
        <v>247</v>
      </c>
      <c r="G509" s="1">
        <v>377</v>
      </c>
      <c r="H509" s="13" t="s">
        <v>10</v>
      </c>
      <c r="I509" s="1">
        <v>4</v>
      </c>
      <c r="J509" s="1">
        <v>11.4</v>
      </c>
      <c r="K509" s="1">
        <v>1</v>
      </c>
      <c r="L509" s="29"/>
      <c r="O509" s="3"/>
    </row>
    <row r="510" spans="1:15" x14ac:dyDescent="0.3">
      <c r="A510" s="1" t="s">
        <v>504</v>
      </c>
      <c r="B510" s="1" t="s">
        <v>9</v>
      </c>
      <c r="C510" s="11">
        <v>45334</v>
      </c>
      <c r="D510" s="12">
        <f t="shared" si="7"/>
        <v>1</v>
      </c>
      <c r="E510" s="1">
        <v>351</v>
      </c>
      <c r="F510" s="1">
        <v>319</v>
      </c>
      <c r="G510" s="1">
        <v>787</v>
      </c>
      <c r="H510" s="13" t="s">
        <v>28</v>
      </c>
      <c r="I510" s="1">
        <v>2</v>
      </c>
      <c r="J510" s="1">
        <v>2.7</v>
      </c>
      <c r="K510" s="1">
        <v>2</v>
      </c>
      <c r="L510" s="29"/>
      <c r="O510" s="3"/>
    </row>
    <row r="511" spans="1:15" x14ac:dyDescent="0.3">
      <c r="A511" s="1" t="s">
        <v>505</v>
      </c>
      <c r="B511" s="1" t="s">
        <v>9</v>
      </c>
      <c r="C511" s="11">
        <v>45334</v>
      </c>
      <c r="D511" s="12">
        <f t="shared" si="7"/>
        <v>1</v>
      </c>
      <c r="E511" s="1">
        <v>334</v>
      </c>
      <c r="F511" s="1">
        <v>303</v>
      </c>
      <c r="G511" s="1">
        <v>792</v>
      </c>
      <c r="H511" s="13" t="s">
        <v>10</v>
      </c>
      <c r="I511" s="1">
        <v>4</v>
      </c>
      <c r="J511" s="1">
        <v>19</v>
      </c>
      <c r="K511" s="1">
        <v>2</v>
      </c>
      <c r="L511" s="29"/>
      <c r="O511" s="3"/>
    </row>
    <row r="512" spans="1:15" x14ac:dyDescent="0.3">
      <c r="A512" s="1" t="s">
        <v>506</v>
      </c>
      <c r="B512" s="1" t="s">
        <v>9</v>
      </c>
      <c r="C512" s="11">
        <v>45334</v>
      </c>
      <c r="D512" s="12">
        <f t="shared" si="7"/>
        <v>1</v>
      </c>
      <c r="E512" s="1">
        <v>315</v>
      </c>
      <c r="F512" s="1">
        <v>290</v>
      </c>
      <c r="G512" s="1">
        <v>595</v>
      </c>
      <c r="H512" s="13" t="s">
        <v>28</v>
      </c>
      <c r="I512" s="1">
        <v>3</v>
      </c>
      <c r="J512" s="1">
        <v>2.87</v>
      </c>
      <c r="K512" s="1">
        <v>1</v>
      </c>
      <c r="L512" s="29"/>
      <c r="O512" s="3"/>
    </row>
    <row r="513" spans="1:15" x14ac:dyDescent="0.3">
      <c r="A513" s="1" t="s">
        <v>507</v>
      </c>
      <c r="B513" s="1" t="s">
        <v>9</v>
      </c>
      <c r="C513" s="11">
        <v>45456</v>
      </c>
      <c r="D513" s="12">
        <f t="shared" si="7"/>
        <v>2</v>
      </c>
      <c r="E513" s="1">
        <v>220</v>
      </c>
      <c r="F513" s="1">
        <v>210</v>
      </c>
      <c r="G513" s="1">
        <v>204</v>
      </c>
      <c r="H513" s="13" t="s">
        <v>10</v>
      </c>
      <c r="I513" s="1">
        <v>3</v>
      </c>
      <c r="J513" s="1">
        <v>3.4</v>
      </c>
      <c r="K513" s="1">
        <v>0</v>
      </c>
      <c r="L513" s="29"/>
      <c r="O513" s="3"/>
    </row>
    <row r="514" spans="1:15" x14ac:dyDescent="0.3">
      <c r="A514" s="1" t="s">
        <v>508</v>
      </c>
      <c r="B514" s="1" t="s">
        <v>9</v>
      </c>
      <c r="C514" s="11">
        <v>45456</v>
      </c>
      <c r="D514" s="12">
        <f t="shared" ref="D514:D577" si="8">ROUNDUP(MONTH(C514)/3,0)</f>
        <v>2</v>
      </c>
      <c r="E514" s="1">
        <v>261</v>
      </c>
      <c r="F514" s="1">
        <v>233</v>
      </c>
      <c r="G514" s="1">
        <v>347</v>
      </c>
      <c r="H514" s="13" t="s">
        <v>10</v>
      </c>
      <c r="I514" s="1">
        <v>4</v>
      </c>
      <c r="J514" s="1">
        <v>10.3</v>
      </c>
      <c r="K514" s="1">
        <v>0</v>
      </c>
      <c r="L514" s="29"/>
      <c r="O514" s="3"/>
    </row>
    <row r="515" spans="1:15" x14ac:dyDescent="0.3">
      <c r="A515" s="1" t="s">
        <v>509</v>
      </c>
      <c r="B515" s="1" t="s">
        <v>9</v>
      </c>
      <c r="C515" s="11">
        <v>45456</v>
      </c>
      <c r="D515" s="12">
        <f t="shared" si="8"/>
        <v>2</v>
      </c>
      <c r="E515" s="1">
        <v>265</v>
      </c>
      <c r="F515" s="1">
        <v>237</v>
      </c>
      <c r="G515" s="1">
        <v>326</v>
      </c>
      <c r="H515" s="13" t="s">
        <v>10</v>
      </c>
      <c r="I515" s="1">
        <v>4</v>
      </c>
      <c r="J515" s="1">
        <v>11.7</v>
      </c>
      <c r="K515" s="1">
        <v>1</v>
      </c>
      <c r="L515" s="29"/>
      <c r="O515" s="3"/>
    </row>
    <row r="516" spans="1:15" x14ac:dyDescent="0.3">
      <c r="A516" s="1" t="s">
        <v>510</v>
      </c>
      <c r="B516" s="1" t="s">
        <v>9</v>
      </c>
      <c r="C516" s="11">
        <v>45456</v>
      </c>
      <c r="D516" s="12">
        <f t="shared" si="8"/>
        <v>2</v>
      </c>
      <c r="E516" s="1">
        <v>210</v>
      </c>
      <c r="F516" s="1">
        <v>190</v>
      </c>
      <c r="G516" s="1">
        <v>174</v>
      </c>
      <c r="H516" s="13" t="s">
        <v>10</v>
      </c>
      <c r="I516" s="1">
        <v>4</v>
      </c>
      <c r="J516" s="1">
        <v>10.5</v>
      </c>
      <c r="K516" s="1">
        <v>1</v>
      </c>
      <c r="L516" s="29"/>
      <c r="O516" s="3"/>
    </row>
    <row r="517" spans="1:15" x14ac:dyDescent="0.3">
      <c r="A517" s="1" t="s">
        <v>511</v>
      </c>
      <c r="B517" s="1" t="s">
        <v>9</v>
      </c>
      <c r="C517" s="11">
        <v>45296</v>
      </c>
      <c r="D517" s="12">
        <f t="shared" si="8"/>
        <v>1</v>
      </c>
      <c r="E517" s="1">
        <v>220</v>
      </c>
      <c r="F517" s="1">
        <v>203</v>
      </c>
      <c r="G517" s="1">
        <v>207</v>
      </c>
      <c r="H517" s="13" t="s">
        <v>10</v>
      </c>
      <c r="I517" s="1">
        <v>2</v>
      </c>
      <c r="J517" s="1">
        <v>2.52</v>
      </c>
      <c r="K517" s="1">
        <v>1</v>
      </c>
      <c r="L517" s="29"/>
      <c r="O517" s="3"/>
    </row>
    <row r="518" spans="1:15" x14ac:dyDescent="0.3">
      <c r="A518" s="1" t="s">
        <v>527</v>
      </c>
      <c r="B518" s="1" t="s">
        <v>9</v>
      </c>
      <c r="C518" s="11">
        <v>45296</v>
      </c>
      <c r="D518" s="12">
        <f t="shared" si="8"/>
        <v>1</v>
      </c>
      <c r="E518" s="1">
        <v>228</v>
      </c>
      <c r="F518" s="1">
        <v>213</v>
      </c>
      <c r="G518" s="1">
        <v>212</v>
      </c>
      <c r="H518" s="13" t="s">
        <v>10</v>
      </c>
      <c r="I518" s="1">
        <v>2</v>
      </c>
      <c r="J518" s="1">
        <v>25</v>
      </c>
      <c r="K518" s="1">
        <v>0</v>
      </c>
      <c r="L518" s="29"/>
      <c r="O518" s="3"/>
    </row>
    <row r="519" spans="1:15" x14ac:dyDescent="0.3">
      <c r="A519" s="1" t="s">
        <v>512</v>
      </c>
      <c r="B519" s="1" t="s">
        <v>9</v>
      </c>
      <c r="C519" s="11">
        <v>45296</v>
      </c>
      <c r="D519" s="12">
        <f t="shared" si="8"/>
        <v>1</v>
      </c>
      <c r="E519" s="1">
        <v>225</v>
      </c>
      <c r="F519" s="1">
        <v>207</v>
      </c>
      <c r="G519" s="1">
        <v>211</v>
      </c>
      <c r="H519" s="13" t="s">
        <v>10</v>
      </c>
      <c r="I519" s="1">
        <v>4</v>
      </c>
      <c r="J519" s="1">
        <v>2.57</v>
      </c>
      <c r="K519" s="1">
        <v>1</v>
      </c>
      <c r="L519" s="29"/>
      <c r="O519" s="3"/>
    </row>
    <row r="520" spans="1:15" x14ac:dyDescent="0.3">
      <c r="A520" s="1" t="s">
        <v>513</v>
      </c>
      <c r="B520" s="1" t="s">
        <v>9</v>
      </c>
      <c r="C520" s="11">
        <v>45296</v>
      </c>
      <c r="D520" s="12">
        <f t="shared" si="8"/>
        <v>1</v>
      </c>
      <c r="E520" s="1">
        <v>249</v>
      </c>
      <c r="F520" s="1">
        <v>225</v>
      </c>
      <c r="G520" s="1">
        <v>290</v>
      </c>
      <c r="H520" s="13" t="s">
        <v>28</v>
      </c>
      <c r="I520" s="1">
        <v>7</v>
      </c>
      <c r="J520" s="1">
        <v>0.31</v>
      </c>
      <c r="K520" s="1">
        <v>1</v>
      </c>
      <c r="L520" s="29"/>
      <c r="O520" s="3"/>
    </row>
    <row r="521" spans="1:15" x14ac:dyDescent="0.3">
      <c r="A521" s="1" t="s">
        <v>514</v>
      </c>
      <c r="B521" s="1" t="s">
        <v>9</v>
      </c>
      <c r="C521" s="11">
        <v>45296</v>
      </c>
      <c r="D521" s="12">
        <f t="shared" si="8"/>
        <v>1</v>
      </c>
      <c r="E521" s="1">
        <v>264</v>
      </c>
      <c r="F521" s="1">
        <v>210</v>
      </c>
      <c r="G521" s="1">
        <v>331</v>
      </c>
      <c r="H521" s="13" t="s">
        <v>28</v>
      </c>
      <c r="I521" s="1">
        <v>1</v>
      </c>
      <c r="J521" s="1">
        <v>1.3</v>
      </c>
      <c r="K521" s="1">
        <v>2</v>
      </c>
      <c r="L521" s="29"/>
      <c r="O521" s="3"/>
    </row>
    <row r="522" spans="1:15" x14ac:dyDescent="0.3">
      <c r="A522" s="1" t="s">
        <v>515</v>
      </c>
      <c r="B522" s="1" t="s">
        <v>9</v>
      </c>
      <c r="C522" s="11">
        <v>45493</v>
      </c>
      <c r="D522" s="12">
        <f t="shared" si="8"/>
        <v>3</v>
      </c>
      <c r="E522" s="1">
        <v>243</v>
      </c>
      <c r="F522" s="1">
        <v>217</v>
      </c>
      <c r="G522" s="1">
        <v>250</v>
      </c>
      <c r="H522" s="13" t="s">
        <v>28</v>
      </c>
      <c r="I522" s="1">
        <v>5</v>
      </c>
      <c r="J522" s="1">
        <v>11.2</v>
      </c>
      <c r="K522" s="1">
        <v>0</v>
      </c>
      <c r="L522" s="29"/>
      <c r="O522" s="3"/>
    </row>
    <row r="523" spans="1:15" x14ac:dyDescent="0.3">
      <c r="A523" s="1" t="s">
        <v>516</v>
      </c>
      <c r="B523" s="1" t="s">
        <v>9</v>
      </c>
      <c r="C523" s="11">
        <v>45493</v>
      </c>
      <c r="D523" s="12">
        <f t="shared" si="8"/>
        <v>3</v>
      </c>
      <c r="E523" s="1">
        <v>246</v>
      </c>
      <c r="F523" s="1">
        <v>219</v>
      </c>
      <c r="G523" s="1">
        <v>255</v>
      </c>
      <c r="H523" s="13" t="s">
        <v>28</v>
      </c>
      <c r="I523" s="1">
        <v>4</v>
      </c>
      <c r="J523" s="1">
        <v>4.8</v>
      </c>
      <c r="K523" s="1">
        <v>1</v>
      </c>
      <c r="L523" s="29"/>
      <c r="O523" s="3"/>
    </row>
    <row r="524" spans="1:15" x14ac:dyDescent="0.3">
      <c r="A524" s="1" t="s">
        <v>517</v>
      </c>
      <c r="B524" s="1" t="s">
        <v>9</v>
      </c>
      <c r="C524" s="11">
        <v>45493</v>
      </c>
      <c r="D524" s="12">
        <f t="shared" si="8"/>
        <v>3</v>
      </c>
      <c r="E524" s="1">
        <v>235</v>
      </c>
      <c r="F524" s="1">
        <v>213</v>
      </c>
      <c r="G524" s="1">
        <v>210</v>
      </c>
      <c r="H524" s="13" t="s">
        <v>28</v>
      </c>
      <c r="I524" s="1">
        <v>4</v>
      </c>
      <c r="J524" s="1">
        <v>3.1</v>
      </c>
      <c r="K524" s="1">
        <v>0</v>
      </c>
      <c r="L524" s="29"/>
      <c r="O524" s="3"/>
    </row>
    <row r="525" spans="1:15" x14ac:dyDescent="0.3">
      <c r="A525" s="1" t="s">
        <v>518</v>
      </c>
      <c r="B525" s="1" t="s">
        <v>9</v>
      </c>
      <c r="C525" s="11">
        <v>45495</v>
      </c>
      <c r="D525" s="12">
        <f t="shared" si="8"/>
        <v>3</v>
      </c>
      <c r="E525" s="1">
        <v>252</v>
      </c>
      <c r="F525" s="1">
        <v>231</v>
      </c>
      <c r="G525" s="1">
        <v>305</v>
      </c>
      <c r="H525" s="13" t="s">
        <v>10</v>
      </c>
      <c r="I525" s="1">
        <v>4</v>
      </c>
      <c r="J525" s="1">
        <v>8</v>
      </c>
      <c r="K525" s="1">
        <v>1</v>
      </c>
      <c r="L525" s="29"/>
      <c r="O525" s="3"/>
    </row>
    <row r="526" spans="1:15" x14ac:dyDescent="0.3">
      <c r="A526" s="1" t="s">
        <v>519</v>
      </c>
      <c r="B526" s="1" t="s">
        <v>9</v>
      </c>
      <c r="C526" s="11">
        <v>45456</v>
      </c>
      <c r="D526" s="12">
        <f t="shared" si="8"/>
        <v>2</v>
      </c>
      <c r="E526" s="1">
        <v>231</v>
      </c>
      <c r="F526" s="1">
        <v>207</v>
      </c>
      <c r="G526" s="1">
        <v>238</v>
      </c>
      <c r="H526" s="13" t="s">
        <v>10</v>
      </c>
      <c r="I526" s="1">
        <v>3</v>
      </c>
      <c r="J526" s="1">
        <v>2.57</v>
      </c>
      <c r="K526" s="1">
        <v>0</v>
      </c>
      <c r="L526" s="29"/>
      <c r="O526" s="3"/>
    </row>
    <row r="527" spans="1:15" x14ac:dyDescent="0.3">
      <c r="A527" s="1" t="s">
        <v>520</v>
      </c>
      <c r="B527" s="1" t="s">
        <v>9</v>
      </c>
      <c r="C527" s="11">
        <v>45456</v>
      </c>
      <c r="D527" s="12">
        <f t="shared" si="8"/>
        <v>2</v>
      </c>
      <c r="E527" s="1">
        <v>188</v>
      </c>
      <c r="F527" s="1">
        <v>174</v>
      </c>
      <c r="G527" s="1">
        <v>138</v>
      </c>
      <c r="H527" s="13" t="s">
        <v>10</v>
      </c>
      <c r="I527" s="1">
        <v>3</v>
      </c>
      <c r="J527" s="1">
        <v>2.4900000000000002</v>
      </c>
      <c r="K527" s="1">
        <v>0</v>
      </c>
      <c r="L527" s="29"/>
      <c r="O527" s="3"/>
    </row>
    <row r="528" spans="1:15" x14ac:dyDescent="0.3">
      <c r="A528" s="1" t="s">
        <v>521</v>
      </c>
      <c r="B528" s="1" t="s">
        <v>9</v>
      </c>
      <c r="C528" s="11">
        <v>45456</v>
      </c>
      <c r="D528" s="12">
        <f t="shared" si="8"/>
        <v>2</v>
      </c>
      <c r="E528" s="1">
        <v>203</v>
      </c>
      <c r="F528" s="1">
        <v>182</v>
      </c>
      <c r="G528" s="1">
        <v>152</v>
      </c>
      <c r="H528" s="13" t="s">
        <v>10</v>
      </c>
      <c r="I528" s="1">
        <v>4</v>
      </c>
      <c r="J528" s="1">
        <v>2.65</v>
      </c>
      <c r="K528" s="1">
        <v>0</v>
      </c>
      <c r="L528" s="29"/>
      <c r="O528" s="3"/>
    </row>
    <row r="529" spans="1:15" x14ac:dyDescent="0.3">
      <c r="A529" s="1" t="s">
        <v>522</v>
      </c>
      <c r="B529" s="1" t="s">
        <v>9</v>
      </c>
      <c r="C529" s="11">
        <v>45493</v>
      </c>
      <c r="D529" s="12">
        <f>ROUNDUP(MONTH(C529)/3,0)</f>
        <v>3</v>
      </c>
      <c r="E529" s="1">
        <v>180</v>
      </c>
      <c r="F529" s="1">
        <v>167</v>
      </c>
      <c r="G529" s="1">
        <v>129</v>
      </c>
      <c r="H529" s="13" t="s">
        <v>10</v>
      </c>
      <c r="I529" s="1">
        <v>5</v>
      </c>
      <c r="J529" s="1">
        <v>8.1999999999999993</v>
      </c>
      <c r="K529" s="1">
        <v>1</v>
      </c>
      <c r="L529" s="29"/>
      <c r="O529" s="3"/>
    </row>
    <row r="530" spans="1:15" x14ac:dyDescent="0.3">
      <c r="A530" s="1" t="s">
        <v>523</v>
      </c>
      <c r="B530" s="1" t="s">
        <v>9</v>
      </c>
      <c r="C530" s="11">
        <v>45463</v>
      </c>
      <c r="D530" s="12">
        <f t="shared" si="8"/>
        <v>2</v>
      </c>
      <c r="E530" s="1">
        <v>209</v>
      </c>
      <c r="F530" s="20"/>
      <c r="G530" s="1">
        <v>175</v>
      </c>
      <c r="H530" s="13" t="s">
        <v>10</v>
      </c>
      <c r="I530" s="1">
        <v>3</v>
      </c>
      <c r="J530" s="1">
        <v>2.2999999999999998</v>
      </c>
      <c r="K530" s="1">
        <v>0</v>
      </c>
      <c r="L530" s="29"/>
      <c r="O530" s="3"/>
    </row>
    <row r="531" spans="1:15" x14ac:dyDescent="0.3">
      <c r="A531" s="1" t="s">
        <v>524</v>
      </c>
      <c r="B531" s="1" t="s">
        <v>9</v>
      </c>
      <c r="C531" s="11">
        <v>45463</v>
      </c>
      <c r="D531" s="12">
        <f t="shared" si="8"/>
        <v>2</v>
      </c>
      <c r="E531" s="1">
        <v>201</v>
      </c>
      <c r="F531" s="1">
        <v>180</v>
      </c>
      <c r="G531" s="1">
        <v>151</v>
      </c>
      <c r="H531" s="13" t="s">
        <v>10</v>
      </c>
      <c r="I531" s="1">
        <v>3</v>
      </c>
      <c r="J531" s="1">
        <v>5</v>
      </c>
      <c r="K531" s="1">
        <v>0</v>
      </c>
      <c r="L531" s="29"/>
      <c r="O531" s="3"/>
    </row>
    <row r="532" spans="1:15" x14ac:dyDescent="0.3">
      <c r="A532" s="1" t="s">
        <v>525</v>
      </c>
      <c r="B532" s="1" t="s">
        <v>9</v>
      </c>
      <c r="C532" s="11">
        <v>45604</v>
      </c>
      <c r="D532" s="12">
        <f t="shared" si="8"/>
        <v>4</v>
      </c>
      <c r="E532" s="1">
        <v>303</v>
      </c>
      <c r="F532" s="1">
        <v>279</v>
      </c>
      <c r="G532" s="1">
        <v>542</v>
      </c>
      <c r="H532" s="13" t="s">
        <v>10</v>
      </c>
      <c r="I532" s="1">
        <v>3</v>
      </c>
      <c r="J532" s="1">
        <v>18.2</v>
      </c>
      <c r="K532" s="1">
        <v>1</v>
      </c>
      <c r="L532" s="29"/>
      <c r="O532" s="3"/>
    </row>
    <row r="533" spans="1:15" x14ac:dyDescent="0.3">
      <c r="A533" s="1" t="s">
        <v>526</v>
      </c>
      <c r="B533" s="1" t="s">
        <v>9</v>
      </c>
      <c r="C533" s="11">
        <v>45238</v>
      </c>
      <c r="D533" s="12">
        <f t="shared" si="8"/>
        <v>4</v>
      </c>
      <c r="E533" s="1">
        <v>269</v>
      </c>
      <c r="F533" s="1">
        <v>243</v>
      </c>
      <c r="G533" s="1">
        <v>352</v>
      </c>
      <c r="H533" s="13" t="s">
        <v>28</v>
      </c>
      <c r="I533" s="1">
        <v>2</v>
      </c>
      <c r="J533" s="1">
        <v>1.51</v>
      </c>
      <c r="K533" s="1">
        <v>0</v>
      </c>
      <c r="L533" s="29"/>
      <c r="O533" s="3"/>
    </row>
    <row r="534" spans="1:15" x14ac:dyDescent="0.3">
      <c r="A534" s="1" t="s">
        <v>528</v>
      </c>
      <c r="B534" s="1" t="s">
        <v>9</v>
      </c>
      <c r="C534" s="11">
        <v>45296</v>
      </c>
      <c r="D534" s="12">
        <f t="shared" si="8"/>
        <v>1</v>
      </c>
      <c r="E534" s="1">
        <v>225</v>
      </c>
      <c r="F534" s="1">
        <v>206</v>
      </c>
      <c r="G534" s="1">
        <v>208</v>
      </c>
      <c r="H534" s="13" t="s">
        <v>28</v>
      </c>
      <c r="I534" s="1">
        <v>2</v>
      </c>
      <c r="J534" s="1">
        <v>0.36</v>
      </c>
      <c r="K534" s="1">
        <v>2</v>
      </c>
      <c r="L534" s="29"/>
      <c r="O534" s="3"/>
    </row>
    <row r="535" spans="1:15" x14ac:dyDescent="0.3">
      <c r="A535" s="1" t="s">
        <v>529</v>
      </c>
      <c r="B535" s="1" t="s">
        <v>9</v>
      </c>
      <c r="C535" s="11">
        <v>45296</v>
      </c>
      <c r="D535" s="12">
        <f t="shared" si="8"/>
        <v>1</v>
      </c>
      <c r="E535" s="1">
        <v>254</v>
      </c>
      <c r="F535" s="1">
        <v>234</v>
      </c>
      <c r="G535" s="1">
        <v>307</v>
      </c>
      <c r="H535" s="13" t="s">
        <v>10</v>
      </c>
      <c r="I535" s="1">
        <v>7</v>
      </c>
      <c r="J535" s="1">
        <v>3</v>
      </c>
      <c r="K535" s="1">
        <v>1</v>
      </c>
      <c r="L535" s="29"/>
      <c r="O535" s="3"/>
    </row>
    <row r="536" spans="1:15" x14ac:dyDescent="0.3">
      <c r="A536" s="1" t="s">
        <v>530</v>
      </c>
      <c r="B536" s="1" t="s">
        <v>9</v>
      </c>
      <c r="C536" s="11">
        <v>45296</v>
      </c>
      <c r="D536" s="12">
        <f t="shared" si="8"/>
        <v>1</v>
      </c>
      <c r="E536" s="1">
        <v>222</v>
      </c>
      <c r="F536" s="1">
        <v>205</v>
      </c>
      <c r="G536" s="1">
        <v>235</v>
      </c>
      <c r="H536" s="13" t="s">
        <v>10</v>
      </c>
      <c r="I536" s="1">
        <v>2</v>
      </c>
      <c r="J536" s="1">
        <v>3.3</v>
      </c>
      <c r="K536" s="1">
        <v>1</v>
      </c>
      <c r="L536" s="29"/>
      <c r="O536" s="3"/>
    </row>
    <row r="537" spans="1:15" x14ac:dyDescent="0.3">
      <c r="A537" s="1" t="s">
        <v>531</v>
      </c>
      <c r="B537" s="1" t="s">
        <v>9</v>
      </c>
      <c r="C537" s="11">
        <v>45296</v>
      </c>
      <c r="D537" s="12">
        <f t="shared" si="8"/>
        <v>1</v>
      </c>
      <c r="E537" s="1">
        <v>240</v>
      </c>
      <c r="F537" s="1">
        <v>224</v>
      </c>
      <c r="G537" s="1">
        <v>238</v>
      </c>
      <c r="H537" s="13" t="s">
        <v>10</v>
      </c>
      <c r="I537" s="1">
        <v>2</v>
      </c>
      <c r="J537" s="1">
        <v>3</v>
      </c>
      <c r="K537" s="1">
        <v>1</v>
      </c>
      <c r="L537" s="29"/>
      <c r="O537" s="3"/>
    </row>
    <row r="538" spans="1:15" x14ac:dyDescent="0.3">
      <c r="A538" s="1" t="s">
        <v>532</v>
      </c>
      <c r="B538" s="1" t="s">
        <v>9</v>
      </c>
      <c r="C538" s="11">
        <v>45403</v>
      </c>
      <c r="D538" s="12">
        <f t="shared" si="8"/>
        <v>2</v>
      </c>
      <c r="E538" s="1">
        <v>289</v>
      </c>
      <c r="F538" s="1">
        <v>264</v>
      </c>
      <c r="G538" s="1">
        <v>511</v>
      </c>
      <c r="H538" s="13" t="s">
        <v>28</v>
      </c>
      <c r="I538" s="1">
        <v>5</v>
      </c>
      <c r="J538" s="1">
        <v>34.200000000000003</v>
      </c>
      <c r="K538" s="1">
        <v>0</v>
      </c>
      <c r="L538" s="29"/>
      <c r="O538" s="3"/>
    </row>
    <row r="539" spans="1:15" x14ac:dyDescent="0.3">
      <c r="A539" s="1" t="s">
        <v>533</v>
      </c>
      <c r="B539" s="1" t="s">
        <v>9</v>
      </c>
      <c r="C539" s="11">
        <v>45403</v>
      </c>
      <c r="D539" s="12">
        <f t="shared" si="8"/>
        <v>2</v>
      </c>
      <c r="E539" s="1">
        <v>287</v>
      </c>
      <c r="F539" s="1">
        <v>271</v>
      </c>
      <c r="G539" s="1">
        <v>516</v>
      </c>
      <c r="H539" s="13" t="s">
        <v>28</v>
      </c>
      <c r="I539" s="1">
        <v>5</v>
      </c>
      <c r="J539" s="1">
        <v>20.100000000000001</v>
      </c>
      <c r="K539" s="1">
        <v>2</v>
      </c>
      <c r="L539" s="29"/>
      <c r="O539" s="3"/>
    </row>
    <row r="540" spans="1:15" x14ac:dyDescent="0.3">
      <c r="A540" s="1" t="s">
        <v>534</v>
      </c>
      <c r="B540" s="1" t="s">
        <v>9</v>
      </c>
      <c r="C540" s="11">
        <v>45493</v>
      </c>
      <c r="D540" s="12">
        <f t="shared" si="8"/>
        <v>3</v>
      </c>
      <c r="E540" s="1">
        <v>226</v>
      </c>
      <c r="F540" s="1">
        <v>206</v>
      </c>
      <c r="G540" s="1">
        <v>273</v>
      </c>
      <c r="H540" s="13" t="s">
        <v>28</v>
      </c>
      <c r="I540" s="1">
        <v>5</v>
      </c>
      <c r="J540" s="1">
        <v>12</v>
      </c>
      <c r="K540" s="1">
        <v>1</v>
      </c>
      <c r="L540" s="29"/>
      <c r="O540" s="3"/>
    </row>
    <row r="541" spans="1:15" x14ac:dyDescent="0.3">
      <c r="A541" s="1" t="s">
        <v>535</v>
      </c>
      <c r="B541" s="1" t="s">
        <v>9</v>
      </c>
      <c r="C541" s="11">
        <v>45196</v>
      </c>
      <c r="D541" s="12">
        <f t="shared" si="8"/>
        <v>3</v>
      </c>
      <c r="E541" s="1">
        <v>284</v>
      </c>
      <c r="F541" s="1">
        <v>259</v>
      </c>
      <c r="G541" s="1">
        <v>363</v>
      </c>
      <c r="H541" s="13" t="s">
        <v>10</v>
      </c>
      <c r="I541" s="1">
        <v>2</v>
      </c>
      <c r="J541" s="1">
        <v>3.24</v>
      </c>
      <c r="K541" s="1">
        <v>0</v>
      </c>
      <c r="L541" s="29"/>
      <c r="O541" s="3"/>
    </row>
    <row r="542" spans="1:15" x14ac:dyDescent="0.3">
      <c r="A542" s="1" t="s">
        <v>536</v>
      </c>
      <c r="B542" s="1" t="s">
        <v>9</v>
      </c>
      <c r="C542" s="11">
        <v>45196</v>
      </c>
      <c r="D542" s="12">
        <f t="shared" si="8"/>
        <v>3</v>
      </c>
      <c r="E542" s="1">
        <v>293</v>
      </c>
      <c r="F542" s="1">
        <v>263</v>
      </c>
      <c r="G542" s="1">
        <v>396</v>
      </c>
      <c r="H542" s="13" t="s">
        <v>10</v>
      </c>
      <c r="I542" s="1">
        <v>3</v>
      </c>
      <c r="J542" s="1">
        <v>7.51</v>
      </c>
      <c r="K542" s="1">
        <v>1</v>
      </c>
      <c r="L542" s="29"/>
      <c r="O542" s="3"/>
    </row>
    <row r="543" spans="1:15" x14ac:dyDescent="0.3">
      <c r="A543" s="1" t="s">
        <v>537</v>
      </c>
      <c r="B543" s="1" t="s">
        <v>9</v>
      </c>
      <c r="C543" s="11">
        <v>45493</v>
      </c>
      <c r="D543" s="12">
        <f t="shared" si="8"/>
        <v>3</v>
      </c>
      <c r="E543" s="1">
        <v>250</v>
      </c>
      <c r="F543" s="1">
        <v>229</v>
      </c>
      <c r="G543" s="1">
        <v>295</v>
      </c>
      <c r="H543" s="13" t="s">
        <v>28</v>
      </c>
      <c r="I543" s="1">
        <v>5</v>
      </c>
      <c r="J543" s="1">
        <v>8.6999999999999993</v>
      </c>
      <c r="K543" s="1">
        <v>1</v>
      </c>
      <c r="L543" s="29"/>
      <c r="O543" s="3"/>
    </row>
    <row r="544" spans="1:15" x14ac:dyDescent="0.3">
      <c r="A544" s="1" t="s">
        <v>538</v>
      </c>
      <c r="B544" s="1" t="s">
        <v>9</v>
      </c>
      <c r="C544" s="11">
        <v>45493</v>
      </c>
      <c r="D544" s="12">
        <f t="shared" si="8"/>
        <v>3</v>
      </c>
      <c r="E544" s="1">
        <v>255</v>
      </c>
      <c r="F544" s="1">
        <v>230</v>
      </c>
      <c r="G544" s="1">
        <v>319</v>
      </c>
      <c r="H544" s="13" t="s">
        <v>28</v>
      </c>
      <c r="I544" s="1">
        <v>4</v>
      </c>
      <c r="J544" s="1">
        <v>25.9</v>
      </c>
      <c r="K544" s="1">
        <v>1</v>
      </c>
      <c r="L544" s="29"/>
      <c r="O544" s="3"/>
    </row>
    <row r="545" spans="1:15" x14ac:dyDescent="0.3">
      <c r="A545" s="1" t="s">
        <v>539</v>
      </c>
      <c r="B545" s="1" t="s">
        <v>9</v>
      </c>
      <c r="C545" s="11">
        <v>45480</v>
      </c>
      <c r="D545" s="12">
        <f t="shared" si="8"/>
        <v>3</v>
      </c>
      <c r="E545" s="1">
        <v>244</v>
      </c>
      <c r="F545" s="1">
        <v>220</v>
      </c>
      <c r="G545" s="1">
        <v>269</v>
      </c>
      <c r="H545" s="13" t="s">
        <v>28</v>
      </c>
      <c r="I545" s="1">
        <v>5</v>
      </c>
      <c r="J545" s="1">
        <v>13</v>
      </c>
      <c r="K545" s="1">
        <v>1</v>
      </c>
      <c r="L545" s="29"/>
      <c r="O545" s="3"/>
    </row>
    <row r="546" spans="1:15" x14ac:dyDescent="0.3">
      <c r="A546" s="1" t="s">
        <v>540</v>
      </c>
      <c r="B546" s="1" t="s">
        <v>9</v>
      </c>
      <c r="C546" s="11">
        <v>45383</v>
      </c>
      <c r="D546" s="12">
        <f t="shared" si="8"/>
        <v>2</v>
      </c>
      <c r="E546" s="1">
        <v>230</v>
      </c>
      <c r="F546" s="1">
        <v>205</v>
      </c>
      <c r="G546" s="1">
        <v>227</v>
      </c>
      <c r="H546" s="13" t="s">
        <v>28</v>
      </c>
      <c r="I546" s="1">
        <v>4</v>
      </c>
      <c r="J546" s="1">
        <v>12.33</v>
      </c>
      <c r="K546" s="1">
        <v>1</v>
      </c>
      <c r="L546" s="29"/>
      <c r="O546" s="3"/>
    </row>
    <row r="547" spans="1:15" x14ac:dyDescent="0.3">
      <c r="A547" s="1" t="s">
        <v>541</v>
      </c>
      <c r="B547" s="1" t="s">
        <v>9</v>
      </c>
      <c r="C547" s="11">
        <v>45383</v>
      </c>
      <c r="D547" s="12">
        <f t="shared" si="8"/>
        <v>2</v>
      </c>
      <c r="E547" s="1">
        <v>233</v>
      </c>
      <c r="F547" s="1">
        <v>210</v>
      </c>
      <c r="G547" s="1">
        <v>191</v>
      </c>
      <c r="H547" s="13" t="s">
        <v>10</v>
      </c>
      <c r="I547" s="1">
        <v>2</v>
      </c>
      <c r="J547" s="1">
        <v>2.2999999999999998</v>
      </c>
      <c r="K547" s="1">
        <v>0</v>
      </c>
      <c r="L547" s="29"/>
      <c r="O547" s="3"/>
    </row>
    <row r="548" spans="1:15" x14ac:dyDescent="0.3">
      <c r="A548" s="1" t="s">
        <v>542</v>
      </c>
      <c r="B548" s="1" t="s">
        <v>9</v>
      </c>
      <c r="C548" s="11">
        <v>45383</v>
      </c>
      <c r="D548" s="12">
        <f t="shared" si="8"/>
        <v>2</v>
      </c>
      <c r="E548" s="1">
        <v>252</v>
      </c>
      <c r="F548" s="1">
        <v>231</v>
      </c>
      <c r="G548" s="1">
        <v>298</v>
      </c>
      <c r="H548" s="13" t="s">
        <v>10</v>
      </c>
      <c r="I548" s="1">
        <v>5</v>
      </c>
      <c r="J548" s="1">
        <v>23.2</v>
      </c>
      <c r="K548" s="1">
        <v>0</v>
      </c>
      <c r="L548" s="29"/>
      <c r="O548" s="3"/>
    </row>
    <row r="549" spans="1:15" x14ac:dyDescent="0.3">
      <c r="A549" s="1" t="s">
        <v>543</v>
      </c>
      <c r="B549" s="1" t="s">
        <v>9</v>
      </c>
      <c r="C549" s="11">
        <v>45403</v>
      </c>
      <c r="D549" s="12">
        <f t="shared" si="8"/>
        <v>2</v>
      </c>
      <c r="E549" s="1">
        <v>311</v>
      </c>
      <c r="F549" s="1">
        <v>284</v>
      </c>
      <c r="G549" s="1">
        <v>570</v>
      </c>
      <c r="H549" s="13" t="s">
        <v>28</v>
      </c>
      <c r="I549" s="1">
        <v>3</v>
      </c>
      <c r="J549" s="1">
        <v>10.55</v>
      </c>
      <c r="K549" s="1">
        <v>2</v>
      </c>
      <c r="L549" s="29"/>
      <c r="O549" s="3"/>
    </row>
    <row r="550" spans="1:15" x14ac:dyDescent="0.3">
      <c r="A550" s="1" t="s">
        <v>544</v>
      </c>
      <c r="B550" s="1" t="s">
        <v>9</v>
      </c>
      <c r="C550" s="11">
        <v>45383</v>
      </c>
      <c r="D550" s="12">
        <f t="shared" si="8"/>
        <v>2</v>
      </c>
      <c r="E550" s="1">
        <v>186</v>
      </c>
      <c r="F550" s="1">
        <v>170</v>
      </c>
      <c r="G550" s="1">
        <v>110</v>
      </c>
      <c r="H550" s="13" t="s">
        <v>10</v>
      </c>
      <c r="I550" s="1">
        <v>5</v>
      </c>
      <c r="J550" s="1">
        <v>3.24</v>
      </c>
      <c r="K550" s="1">
        <v>1</v>
      </c>
      <c r="L550" s="29"/>
      <c r="O550" s="3"/>
    </row>
    <row r="551" spans="1:15" x14ac:dyDescent="0.3">
      <c r="A551" s="1" t="s">
        <v>545</v>
      </c>
      <c r="B551" s="1" t="s">
        <v>9</v>
      </c>
      <c r="C551" s="11">
        <v>45383</v>
      </c>
      <c r="D551" s="12">
        <f t="shared" si="8"/>
        <v>2</v>
      </c>
      <c r="E551" s="1">
        <v>212</v>
      </c>
      <c r="F551" s="1">
        <v>190</v>
      </c>
      <c r="G551" s="1">
        <v>161</v>
      </c>
      <c r="H551" s="13" t="s">
        <v>10</v>
      </c>
      <c r="I551" s="1">
        <v>2</v>
      </c>
      <c r="J551" s="1">
        <v>2.1</v>
      </c>
      <c r="K551" s="1">
        <v>1</v>
      </c>
      <c r="L551" s="29"/>
      <c r="O551" s="3"/>
    </row>
    <row r="552" spans="1:15" x14ac:dyDescent="0.3">
      <c r="A552" s="1" t="s">
        <v>546</v>
      </c>
      <c r="B552" s="1" t="s">
        <v>9</v>
      </c>
      <c r="C552" s="11">
        <v>45383</v>
      </c>
      <c r="D552" s="12">
        <f t="shared" si="8"/>
        <v>2</v>
      </c>
      <c r="E552" s="1">
        <v>211</v>
      </c>
      <c r="F552" s="1">
        <v>195</v>
      </c>
      <c r="G552" s="1">
        <v>187</v>
      </c>
      <c r="H552" s="13" t="s">
        <v>28</v>
      </c>
      <c r="I552" s="1">
        <v>3</v>
      </c>
      <c r="J552" s="1">
        <v>3.6</v>
      </c>
      <c r="K552" s="1">
        <v>1</v>
      </c>
      <c r="L552" s="29"/>
      <c r="O552" s="3"/>
    </row>
    <row r="553" spans="1:15" x14ac:dyDescent="0.3">
      <c r="A553" s="1" t="s">
        <v>547</v>
      </c>
      <c r="B553" s="1" t="s">
        <v>9</v>
      </c>
      <c r="C553" s="11">
        <v>45403</v>
      </c>
      <c r="D553" s="12">
        <f t="shared" si="8"/>
        <v>2</v>
      </c>
      <c r="E553" s="1">
        <v>341</v>
      </c>
      <c r="F553" s="1">
        <v>310</v>
      </c>
      <c r="G553" s="1">
        <v>732</v>
      </c>
      <c r="H553" s="13" t="s">
        <v>10</v>
      </c>
      <c r="I553" s="1">
        <v>4</v>
      </c>
      <c r="J553" s="1">
        <v>34.9</v>
      </c>
      <c r="K553" s="1">
        <v>1</v>
      </c>
      <c r="L553" s="29"/>
      <c r="O553" s="3"/>
    </row>
    <row r="554" spans="1:15" x14ac:dyDescent="0.3">
      <c r="A554" s="1" t="s">
        <v>548</v>
      </c>
      <c r="B554" s="1" t="s">
        <v>9</v>
      </c>
      <c r="C554" s="11">
        <v>45334</v>
      </c>
      <c r="D554" s="12">
        <f t="shared" si="8"/>
        <v>1</v>
      </c>
      <c r="E554" s="1">
        <v>350</v>
      </c>
      <c r="F554" s="1">
        <v>325</v>
      </c>
      <c r="G554" s="1">
        <v>919</v>
      </c>
      <c r="H554" s="13" t="s">
        <v>28</v>
      </c>
      <c r="I554" s="1">
        <v>2</v>
      </c>
      <c r="J554" s="1">
        <v>5.5</v>
      </c>
      <c r="K554" s="1">
        <v>1</v>
      </c>
      <c r="L554" s="29"/>
      <c r="O554" s="3"/>
    </row>
    <row r="555" spans="1:15" x14ac:dyDescent="0.3">
      <c r="A555" s="1" t="s">
        <v>549</v>
      </c>
      <c r="B555" s="1" t="s">
        <v>9</v>
      </c>
      <c r="C555" s="11">
        <v>45383</v>
      </c>
      <c r="D555" s="12">
        <f t="shared" si="8"/>
        <v>2</v>
      </c>
      <c r="E555" s="1">
        <v>190</v>
      </c>
      <c r="F555" s="1">
        <v>188</v>
      </c>
      <c r="G555" s="1">
        <v>130</v>
      </c>
      <c r="H555" s="13" t="s">
        <v>10</v>
      </c>
      <c r="I555" s="1">
        <v>1</v>
      </c>
      <c r="J555" s="1">
        <v>1.5</v>
      </c>
      <c r="L555" s="29"/>
      <c r="O555" s="3"/>
    </row>
    <row r="556" spans="1:15" x14ac:dyDescent="0.3">
      <c r="A556" s="1" t="s">
        <v>550</v>
      </c>
      <c r="B556" s="1" t="s">
        <v>9</v>
      </c>
      <c r="C556" s="11">
        <v>45403</v>
      </c>
      <c r="D556" s="12">
        <f t="shared" si="8"/>
        <v>2</v>
      </c>
      <c r="E556" s="1">
        <v>347</v>
      </c>
      <c r="F556" s="1">
        <v>314</v>
      </c>
      <c r="G556" s="1">
        <v>817</v>
      </c>
      <c r="H556" s="13" t="s">
        <v>28</v>
      </c>
      <c r="I556" s="1">
        <v>5</v>
      </c>
      <c r="J556" s="1">
        <v>37</v>
      </c>
      <c r="K556" s="1">
        <v>1</v>
      </c>
      <c r="L556" s="29"/>
      <c r="O556" s="3"/>
    </row>
    <row r="557" spans="1:15" x14ac:dyDescent="0.3">
      <c r="A557" s="1" t="s">
        <v>551</v>
      </c>
      <c r="B557" s="1" t="s">
        <v>9</v>
      </c>
      <c r="C557" s="11">
        <v>45196</v>
      </c>
      <c r="D557" s="12">
        <f t="shared" si="8"/>
        <v>3</v>
      </c>
      <c r="E557" s="1">
        <v>351</v>
      </c>
      <c r="F557" s="1">
        <v>318</v>
      </c>
      <c r="G557" s="1">
        <v>675</v>
      </c>
      <c r="H557" s="13" t="s">
        <v>28</v>
      </c>
      <c r="I557" s="1">
        <v>7</v>
      </c>
      <c r="J557" s="1">
        <v>2.1</v>
      </c>
      <c r="K557" s="1">
        <v>0</v>
      </c>
      <c r="L557" s="29"/>
      <c r="O557" s="3"/>
    </row>
    <row r="558" spans="1:15" x14ac:dyDescent="0.3">
      <c r="A558" s="1" t="s">
        <v>552</v>
      </c>
      <c r="B558" s="1" t="s">
        <v>9</v>
      </c>
      <c r="C558" s="11">
        <v>45334</v>
      </c>
      <c r="D558" s="12">
        <f t="shared" si="8"/>
        <v>1</v>
      </c>
      <c r="E558" s="1">
        <v>330</v>
      </c>
      <c r="F558" s="1">
        <v>318</v>
      </c>
      <c r="G558" s="1">
        <v>680</v>
      </c>
      <c r="H558" s="13" t="s">
        <v>10</v>
      </c>
      <c r="I558" s="1">
        <v>2</v>
      </c>
      <c r="J558" s="1">
        <v>9.6999999999999993</v>
      </c>
      <c r="K558" s="1">
        <v>0</v>
      </c>
      <c r="L558" s="29"/>
      <c r="O558" s="3"/>
    </row>
    <row r="559" spans="1:15" x14ac:dyDescent="0.3">
      <c r="A559" s="1" t="s">
        <v>582</v>
      </c>
      <c r="B559" s="1" t="s">
        <v>9</v>
      </c>
      <c r="C559" s="11">
        <v>45881</v>
      </c>
      <c r="D559" s="12">
        <f t="shared" si="8"/>
        <v>3</v>
      </c>
      <c r="E559" s="1">
        <v>224</v>
      </c>
      <c r="F559" s="1">
        <v>204</v>
      </c>
      <c r="G559" s="1">
        <v>189.5</v>
      </c>
      <c r="H559" s="13" t="s">
        <v>28</v>
      </c>
      <c r="I559" s="12">
        <v>2</v>
      </c>
      <c r="J559" s="1">
        <v>0.5</v>
      </c>
      <c r="K559" s="1">
        <v>0</v>
      </c>
      <c r="L559" s="29"/>
    </row>
    <row r="560" spans="1:15" x14ac:dyDescent="0.3">
      <c r="A560" s="1" t="s">
        <v>583</v>
      </c>
      <c r="B560" s="1" t="s">
        <v>9</v>
      </c>
      <c r="C560" s="11">
        <v>45881</v>
      </c>
      <c r="D560" s="12">
        <f t="shared" si="8"/>
        <v>3</v>
      </c>
      <c r="E560" s="1">
        <v>240</v>
      </c>
      <c r="F560" s="1">
        <v>213</v>
      </c>
      <c r="G560" s="1">
        <v>241</v>
      </c>
      <c r="H560" s="13" t="s">
        <v>10</v>
      </c>
      <c r="I560" s="12">
        <v>2</v>
      </c>
      <c r="J560" s="1">
        <v>1</v>
      </c>
      <c r="K560" s="1">
        <v>1</v>
      </c>
      <c r="L560" s="29"/>
    </row>
    <row r="561" spans="1:12" x14ac:dyDescent="0.3">
      <c r="A561" s="1" t="s">
        <v>587</v>
      </c>
      <c r="B561" s="1" t="s">
        <v>9</v>
      </c>
      <c r="C561" s="11">
        <v>45871</v>
      </c>
      <c r="D561" s="12">
        <f t="shared" si="8"/>
        <v>3</v>
      </c>
      <c r="E561" s="1">
        <v>233</v>
      </c>
      <c r="F561" s="1">
        <v>217</v>
      </c>
      <c r="G561" s="1">
        <v>258</v>
      </c>
      <c r="H561" s="13" t="s">
        <v>10</v>
      </c>
      <c r="I561" s="12">
        <v>3</v>
      </c>
      <c r="J561" s="1">
        <v>3.5</v>
      </c>
      <c r="K561" s="1">
        <v>1</v>
      </c>
      <c r="L561" s="29"/>
    </row>
    <row r="562" spans="1:12" x14ac:dyDescent="0.3">
      <c r="A562" s="1" t="s">
        <v>585</v>
      </c>
      <c r="B562" s="1" t="s">
        <v>9</v>
      </c>
      <c r="C562" s="11">
        <v>45599</v>
      </c>
      <c r="D562" s="12">
        <f t="shared" si="8"/>
        <v>4</v>
      </c>
      <c r="E562" s="1">
        <v>263</v>
      </c>
      <c r="F562" s="1">
        <v>232</v>
      </c>
      <c r="G562" s="1">
        <v>348</v>
      </c>
      <c r="H562" s="13" t="s">
        <v>28</v>
      </c>
      <c r="I562" s="12">
        <v>2</v>
      </c>
      <c r="J562" s="1">
        <v>2.5</v>
      </c>
      <c r="K562" s="1">
        <v>2</v>
      </c>
      <c r="L562" s="29"/>
    </row>
    <row r="563" spans="1:12" x14ac:dyDescent="0.3">
      <c r="A563" s="1" t="s">
        <v>584</v>
      </c>
      <c r="B563" s="1" t="s">
        <v>9</v>
      </c>
      <c r="C563" s="11">
        <v>45881</v>
      </c>
      <c r="D563" s="12">
        <f t="shared" si="8"/>
        <v>3</v>
      </c>
      <c r="E563" s="1">
        <v>245</v>
      </c>
      <c r="F563" s="1">
        <v>222</v>
      </c>
      <c r="G563" s="1">
        <v>257</v>
      </c>
      <c r="H563" s="13" t="s">
        <v>28</v>
      </c>
      <c r="I563" s="12">
        <v>2</v>
      </c>
      <c r="J563" s="1">
        <v>1.01</v>
      </c>
      <c r="K563" s="1">
        <v>1</v>
      </c>
      <c r="L563" s="29"/>
    </row>
    <row r="564" spans="1:12" x14ac:dyDescent="0.3">
      <c r="A564" s="1" t="s">
        <v>581</v>
      </c>
      <c r="B564" s="1" t="s">
        <v>9</v>
      </c>
      <c r="C564" s="11">
        <v>45871</v>
      </c>
      <c r="D564" s="12">
        <f t="shared" si="8"/>
        <v>3</v>
      </c>
      <c r="E564" s="1">
        <v>207</v>
      </c>
      <c r="F564" s="1">
        <v>189</v>
      </c>
      <c r="G564" s="1">
        <v>158</v>
      </c>
      <c r="H564" s="13" t="s">
        <v>10</v>
      </c>
      <c r="I564" s="12">
        <v>2</v>
      </c>
      <c r="J564" s="1">
        <v>2.23</v>
      </c>
      <c r="K564" s="1">
        <v>1</v>
      </c>
      <c r="L564" s="29"/>
    </row>
    <row r="565" spans="1:12" x14ac:dyDescent="0.3">
      <c r="A565" s="1" t="s">
        <v>586</v>
      </c>
      <c r="B565" s="1" t="s">
        <v>9</v>
      </c>
      <c r="C565" s="11">
        <v>45881</v>
      </c>
      <c r="D565" s="12">
        <f t="shared" si="8"/>
        <v>3</v>
      </c>
      <c r="E565" s="1">
        <v>196</v>
      </c>
      <c r="F565" s="1">
        <v>181</v>
      </c>
      <c r="G565" s="1">
        <v>131.81</v>
      </c>
      <c r="H565" s="13" t="s">
        <v>580</v>
      </c>
      <c r="I565" s="12">
        <v>1</v>
      </c>
      <c r="J565" s="1">
        <v>0.1</v>
      </c>
      <c r="K565" s="1">
        <v>0</v>
      </c>
      <c r="L565" s="29"/>
    </row>
    <row r="566" spans="1:12" x14ac:dyDescent="0.3">
      <c r="A566" s="1" t="s">
        <v>579</v>
      </c>
      <c r="B566" s="1" t="s">
        <v>9</v>
      </c>
      <c r="C566" s="11">
        <v>45696</v>
      </c>
      <c r="D566" s="12">
        <f t="shared" si="8"/>
        <v>1</v>
      </c>
      <c r="E566" s="1">
        <v>177</v>
      </c>
      <c r="F566" s="1">
        <v>165</v>
      </c>
      <c r="G566" s="1">
        <v>105.03</v>
      </c>
      <c r="H566" s="13" t="s">
        <v>10</v>
      </c>
      <c r="I566" s="12">
        <v>1</v>
      </c>
      <c r="J566" s="1">
        <v>0.37</v>
      </c>
      <c r="K566" s="1">
        <v>0</v>
      </c>
      <c r="L566" s="29"/>
    </row>
    <row r="567" spans="1:12" x14ac:dyDescent="0.3">
      <c r="A567" s="1" t="s">
        <v>588</v>
      </c>
      <c r="B567" s="1" t="s">
        <v>9</v>
      </c>
      <c r="C567" s="11">
        <v>45881</v>
      </c>
      <c r="D567" s="12">
        <f t="shared" si="8"/>
        <v>3</v>
      </c>
      <c r="E567" s="1">
        <v>197</v>
      </c>
      <c r="F567" s="1">
        <v>179</v>
      </c>
      <c r="G567" s="1">
        <v>138.65</v>
      </c>
      <c r="H567" s="13" t="s">
        <v>10</v>
      </c>
      <c r="I567" s="12">
        <v>2</v>
      </c>
      <c r="J567" s="1">
        <v>1.68</v>
      </c>
      <c r="K567" s="1">
        <v>0</v>
      </c>
      <c r="L567" s="29"/>
    </row>
    <row r="568" spans="1:12" x14ac:dyDescent="0.3">
      <c r="A568" s="1" t="s">
        <v>589</v>
      </c>
      <c r="B568" s="1" t="s">
        <v>9</v>
      </c>
      <c r="C568" s="11">
        <v>45696</v>
      </c>
      <c r="D568" s="12">
        <f t="shared" si="8"/>
        <v>1</v>
      </c>
      <c r="E568" s="1">
        <v>224</v>
      </c>
      <c r="F568" s="1">
        <v>208</v>
      </c>
      <c r="G568" s="1">
        <v>196.32</v>
      </c>
      <c r="H568" s="13" t="s">
        <v>28</v>
      </c>
      <c r="I568" s="12">
        <v>3</v>
      </c>
      <c r="J568" s="1">
        <v>1.31</v>
      </c>
      <c r="K568" s="1">
        <v>0</v>
      </c>
      <c r="L568" s="29"/>
    </row>
    <row r="569" spans="1:12" x14ac:dyDescent="0.3">
      <c r="A569" s="1" t="s">
        <v>590</v>
      </c>
      <c r="B569" s="1" t="s">
        <v>9</v>
      </c>
      <c r="C569" s="11">
        <v>45881</v>
      </c>
      <c r="D569" s="12">
        <f t="shared" si="8"/>
        <v>3</v>
      </c>
      <c r="E569" s="1">
        <v>221</v>
      </c>
      <c r="F569" s="1">
        <v>202</v>
      </c>
      <c r="G569" s="1">
        <v>191.27</v>
      </c>
      <c r="H569" s="13" t="s">
        <v>10</v>
      </c>
      <c r="I569" s="12">
        <v>3</v>
      </c>
      <c r="J569" s="1">
        <v>1.96</v>
      </c>
      <c r="K569" s="1">
        <v>0</v>
      </c>
      <c r="L569" s="29"/>
    </row>
    <row r="570" spans="1:12" x14ac:dyDescent="0.3">
      <c r="A570" s="1" t="s">
        <v>591</v>
      </c>
      <c r="B570" s="1" t="s">
        <v>9</v>
      </c>
      <c r="C570" s="11">
        <v>45696</v>
      </c>
      <c r="D570" s="12">
        <f t="shared" si="8"/>
        <v>1</v>
      </c>
      <c r="E570" s="1">
        <v>191</v>
      </c>
      <c r="F570" s="1">
        <v>178</v>
      </c>
      <c r="G570" s="1">
        <v>128.18</v>
      </c>
      <c r="H570" s="13" t="s">
        <v>10</v>
      </c>
      <c r="I570" s="12">
        <v>2</v>
      </c>
      <c r="J570" s="1">
        <v>1.42</v>
      </c>
      <c r="K570" s="1">
        <v>0</v>
      </c>
      <c r="L570" s="29"/>
    </row>
    <row r="571" spans="1:12" x14ac:dyDescent="0.3">
      <c r="A571" s="1" t="s">
        <v>592</v>
      </c>
      <c r="B571" s="1" t="s">
        <v>9</v>
      </c>
      <c r="C571" s="11">
        <v>45881</v>
      </c>
      <c r="D571" s="12">
        <f t="shared" si="8"/>
        <v>3</v>
      </c>
      <c r="E571" s="1">
        <v>235</v>
      </c>
      <c r="F571" s="1">
        <v>214</v>
      </c>
      <c r="G571" s="1">
        <v>231.36</v>
      </c>
      <c r="H571" s="13" t="s">
        <v>28</v>
      </c>
      <c r="I571" s="12">
        <v>2</v>
      </c>
      <c r="J571" s="1">
        <v>0.56999999999999995</v>
      </c>
      <c r="K571" s="1">
        <v>1</v>
      </c>
      <c r="L571" s="29"/>
    </row>
    <row r="572" spans="1:12" x14ac:dyDescent="0.3">
      <c r="A572" s="1" t="s">
        <v>593</v>
      </c>
      <c r="B572" s="1" t="s">
        <v>9</v>
      </c>
      <c r="C572" s="11">
        <v>45871</v>
      </c>
      <c r="D572" s="12">
        <f t="shared" si="8"/>
        <v>3</v>
      </c>
      <c r="E572" s="1">
        <v>169</v>
      </c>
      <c r="F572" s="1">
        <v>151</v>
      </c>
      <c r="G572" s="1">
        <v>91.2</v>
      </c>
      <c r="H572" s="13" t="s">
        <v>10</v>
      </c>
      <c r="I572" s="12">
        <v>2</v>
      </c>
      <c r="J572" s="1">
        <v>0.37</v>
      </c>
      <c r="K572" s="1">
        <v>2</v>
      </c>
      <c r="L572" s="29"/>
    </row>
    <row r="573" spans="1:12" x14ac:dyDescent="0.3">
      <c r="A573" s="1" t="s">
        <v>594</v>
      </c>
      <c r="B573" s="1" t="s">
        <v>9</v>
      </c>
      <c r="C573" s="11">
        <v>45633</v>
      </c>
      <c r="D573" s="12">
        <f t="shared" si="8"/>
        <v>4</v>
      </c>
      <c r="E573" s="1">
        <v>350</v>
      </c>
      <c r="F573" s="1">
        <v>310</v>
      </c>
      <c r="G573" s="1">
        <v>787</v>
      </c>
      <c r="H573" s="13" t="s">
        <v>28</v>
      </c>
      <c r="I573" s="12">
        <v>4</v>
      </c>
      <c r="J573" s="1">
        <v>1.75</v>
      </c>
      <c r="K573" s="1">
        <v>1</v>
      </c>
      <c r="L573" s="29"/>
    </row>
    <row r="574" spans="1:12" x14ac:dyDescent="0.3">
      <c r="A574" s="1" t="s">
        <v>595</v>
      </c>
      <c r="B574" s="1" t="s">
        <v>9</v>
      </c>
      <c r="C574" s="11">
        <v>45871</v>
      </c>
      <c r="D574" s="12">
        <f t="shared" si="8"/>
        <v>3</v>
      </c>
      <c r="E574" s="1">
        <v>227</v>
      </c>
      <c r="F574" s="1">
        <v>202</v>
      </c>
      <c r="G574" s="1">
        <v>218.09</v>
      </c>
      <c r="H574" s="13" t="s">
        <v>10</v>
      </c>
      <c r="I574" s="12">
        <v>3</v>
      </c>
      <c r="J574" s="1">
        <v>2.58</v>
      </c>
      <c r="K574" s="1">
        <v>0</v>
      </c>
      <c r="L574" s="29"/>
    </row>
    <row r="575" spans="1:12" x14ac:dyDescent="0.3">
      <c r="A575" s="1" t="s">
        <v>596</v>
      </c>
      <c r="B575" s="1" t="s">
        <v>9</v>
      </c>
      <c r="C575" s="11">
        <v>45599</v>
      </c>
      <c r="D575" s="12">
        <f t="shared" si="8"/>
        <v>4</v>
      </c>
      <c r="E575" s="1">
        <v>240</v>
      </c>
      <c r="F575" s="1">
        <v>219</v>
      </c>
      <c r="G575" s="1">
        <v>282.44</v>
      </c>
      <c r="H575" s="13" t="s">
        <v>28</v>
      </c>
      <c r="I575" s="12">
        <v>3</v>
      </c>
      <c r="J575" s="1">
        <v>2.91</v>
      </c>
      <c r="K575" s="1">
        <v>2</v>
      </c>
      <c r="L575" s="29"/>
    </row>
    <row r="576" spans="1:12" x14ac:dyDescent="0.3">
      <c r="A576" s="1" t="s">
        <v>597</v>
      </c>
      <c r="B576" s="1" t="s">
        <v>9</v>
      </c>
      <c r="C576" s="11">
        <v>45871</v>
      </c>
      <c r="D576" s="12">
        <f t="shared" si="8"/>
        <v>3</v>
      </c>
      <c r="E576" s="1">
        <v>203</v>
      </c>
      <c r="F576" s="1">
        <v>184</v>
      </c>
      <c r="G576" s="1">
        <v>155.5</v>
      </c>
      <c r="H576" s="13" t="s">
        <v>10</v>
      </c>
      <c r="I576" s="12">
        <v>2</v>
      </c>
      <c r="J576" s="1">
        <v>2</v>
      </c>
      <c r="K576" s="1">
        <v>0</v>
      </c>
      <c r="L576" s="29"/>
    </row>
    <row r="577" spans="1:13" x14ac:dyDescent="0.3">
      <c r="A577" s="1" t="s">
        <v>598</v>
      </c>
      <c r="B577" s="1" t="s">
        <v>9</v>
      </c>
      <c r="C577" s="11">
        <v>45871</v>
      </c>
      <c r="D577" s="12">
        <f t="shared" si="8"/>
        <v>3</v>
      </c>
      <c r="E577" s="1">
        <v>215</v>
      </c>
      <c r="F577" s="1">
        <v>198</v>
      </c>
      <c r="G577" s="1">
        <v>191</v>
      </c>
      <c r="H577" s="13" t="s">
        <v>28</v>
      </c>
      <c r="I577" s="12">
        <v>2</v>
      </c>
      <c r="J577" s="1">
        <v>0.5</v>
      </c>
      <c r="K577" s="1">
        <v>0</v>
      </c>
      <c r="L577" s="29"/>
    </row>
    <row r="578" spans="1:13" x14ac:dyDescent="0.3">
      <c r="A578" s="1" t="s">
        <v>599</v>
      </c>
      <c r="B578" s="1" t="s">
        <v>9</v>
      </c>
      <c r="C578" s="11">
        <v>45558</v>
      </c>
      <c r="D578" s="12">
        <f t="shared" ref="D578:D583" si="9">ROUNDUP(MONTH(C578)/3,0)</f>
        <v>3</v>
      </c>
      <c r="E578" s="1">
        <v>346</v>
      </c>
      <c r="F578" s="1">
        <v>313</v>
      </c>
      <c r="G578" s="1">
        <v>739.5</v>
      </c>
      <c r="H578" s="13" t="s">
        <v>28</v>
      </c>
      <c r="I578" s="12">
        <v>2</v>
      </c>
      <c r="J578" s="1">
        <v>1.5</v>
      </c>
      <c r="K578" s="1">
        <v>1</v>
      </c>
      <c r="L578" s="29"/>
    </row>
    <row r="579" spans="1:13" x14ac:dyDescent="0.3">
      <c r="A579" s="1" t="s">
        <v>600</v>
      </c>
      <c r="B579" s="1" t="s">
        <v>9</v>
      </c>
      <c r="C579" s="11">
        <v>45871</v>
      </c>
      <c r="D579" s="12">
        <f t="shared" si="9"/>
        <v>3</v>
      </c>
      <c r="E579" s="1">
        <v>181</v>
      </c>
      <c r="F579" s="1">
        <v>170</v>
      </c>
      <c r="G579" s="1">
        <v>121.5</v>
      </c>
      <c r="H579" s="13" t="s">
        <v>28</v>
      </c>
      <c r="I579" s="12">
        <v>1</v>
      </c>
      <c r="J579" s="1">
        <v>0.5</v>
      </c>
      <c r="K579" s="1">
        <v>0</v>
      </c>
      <c r="L579" s="29"/>
    </row>
    <row r="580" spans="1:13" x14ac:dyDescent="0.3">
      <c r="A580" s="1" t="s">
        <v>601</v>
      </c>
      <c r="B580" s="1" t="s">
        <v>9</v>
      </c>
      <c r="C580" s="11">
        <v>45881</v>
      </c>
      <c r="D580" s="12">
        <f t="shared" si="9"/>
        <v>3</v>
      </c>
      <c r="E580" s="1">
        <v>207</v>
      </c>
      <c r="F580" s="1">
        <v>189</v>
      </c>
      <c r="G580" s="1">
        <v>179.46</v>
      </c>
      <c r="H580" s="13" t="s">
        <v>10</v>
      </c>
      <c r="I580" s="12">
        <v>2</v>
      </c>
      <c r="J580" s="1">
        <v>2.04</v>
      </c>
      <c r="K580" s="1">
        <v>0</v>
      </c>
      <c r="L580" s="29"/>
    </row>
    <row r="581" spans="1:13" x14ac:dyDescent="0.3">
      <c r="A581" s="1" t="s">
        <v>602</v>
      </c>
      <c r="B581" s="1" t="s">
        <v>9</v>
      </c>
      <c r="C581" s="11">
        <v>45881</v>
      </c>
      <c r="D581" s="12">
        <f t="shared" si="9"/>
        <v>3</v>
      </c>
      <c r="E581" s="1">
        <v>287</v>
      </c>
      <c r="F581" s="1">
        <v>265</v>
      </c>
      <c r="G581" s="1">
        <v>414.7</v>
      </c>
      <c r="H581" s="13" t="s">
        <v>28</v>
      </c>
      <c r="I581" s="12">
        <v>2</v>
      </c>
      <c r="J581" s="1">
        <v>1.21</v>
      </c>
      <c r="K581" s="1">
        <v>1</v>
      </c>
      <c r="L581" s="29"/>
    </row>
    <row r="582" spans="1:13" x14ac:dyDescent="0.3">
      <c r="A582" s="1" t="s">
        <v>603</v>
      </c>
      <c r="B582" s="1" t="s">
        <v>9</v>
      </c>
      <c r="C582" s="11">
        <v>45871</v>
      </c>
      <c r="D582" s="12">
        <f t="shared" si="9"/>
        <v>3</v>
      </c>
      <c r="E582" s="1">
        <v>215</v>
      </c>
      <c r="F582" s="1">
        <v>215</v>
      </c>
      <c r="G582" s="1">
        <v>199.44</v>
      </c>
      <c r="H582" s="13" t="s">
        <v>28</v>
      </c>
      <c r="I582" s="12">
        <v>4</v>
      </c>
      <c r="J582" s="1">
        <v>8.74</v>
      </c>
      <c r="K582" s="1">
        <v>1</v>
      </c>
      <c r="L582" s="29"/>
    </row>
    <row r="583" spans="1:13" x14ac:dyDescent="0.3">
      <c r="A583" s="1" t="s">
        <v>604</v>
      </c>
      <c r="B583" s="1" t="s">
        <v>9</v>
      </c>
      <c r="C583" s="11">
        <v>45724</v>
      </c>
      <c r="D583" s="12">
        <f t="shared" si="9"/>
        <v>1</v>
      </c>
      <c r="E583" s="1">
        <v>226</v>
      </c>
      <c r="F583" s="1">
        <v>206</v>
      </c>
      <c r="G583" s="1">
        <v>190.7</v>
      </c>
      <c r="H583" s="13" t="s">
        <v>28</v>
      </c>
      <c r="I583" s="12">
        <v>2</v>
      </c>
      <c r="J583" s="1">
        <v>0.71</v>
      </c>
      <c r="K583" s="1">
        <v>1</v>
      </c>
      <c r="L583" s="29"/>
    </row>
    <row r="584" spans="1:13" x14ac:dyDescent="0.3">
      <c r="G584" s="1"/>
      <c r="H584" s="18"/>
      <c r="J584" s="1"/>
      <c r="L584" s="1"/>
      <c r="M584" s="20"/>
    </row>
  </sheetData>
  <sortState xmlns:xlrd2="http://schemas.microsoft.com/office/spreadsheetml/2017/richdata2" ref="A2:K508">
    <sortCondition ref="A2:A508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GS pivot</vt:lpstr>
      <vt:lpstr>GSI pivot</vt:lpstr>
      <vt:lpstr>PivotFat</vt:lpstr>
      <vt:lpstr>P.blochii</vt:lpstr>
      <vt:lpstr>TL chart</vt:lpstr>
      <vt:lpstr>Mass vs TL chart2</vt:lpstr>
      <vt:lpstr>GSI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Attwood</dc:creator>
  <cp:lastModifiedBy>Colin Attwood</cp:lastModifiedBy>
  <dcterms:created xsi:type="dcterms:W3CDTF">2023-08-28T13:35:52Z</dcterms:created>
  <dcterms:modified xsi:type="dcterms:W3CDTF">2025-08-26T12:56:47Z</dcterms:modified>
</cp:coreProperties>
</file>